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PC\Desktop\LC-REPORT\"/>
    </mc:Choice>
  </mc:AlternateContent>
  <xr:revisionPtr revIDLastSave="0" documentId="13_ncr:1_{46CAC594-0D4E-4D21-A8E8-7BB8AEB2E3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ZTL" sheetId="1" r:id="rId1"/>
    <sheet name="NZAL" sheetId="6" r:id="rId2"/>
    <sheet name="NZDY" sheetId="7" r:id="rId3"/>
    <sheet name="Data" sheetId="5" state="hidden" r:id="rId4"/>
  </sheets>
  <definedNames>
    <definedName name="ExternalData_1" localSheetId="3" hidden="1">Data!$A$1:$C$208</definedName>
    <definedName name="_xlnm.Print_Area" localSheetId="1">NZAL!$A$1:$O$221</definedName>
    <definedName name="_xlnm.Print_Area" localSheetId="2">NZDY!$A$1:$O$76</definedName>
    <definedName name="_xlnm.Print_Area" localSheetId="0">NZTL!$A$1:$O$774</definedName>
    <definedName name="_xlnm.Print_Titles" localSheetId="1">NZAL!$1:$1</definedName>
    <definedName name="_xlnm.Print_Titles" localSheetId="2">NZDY!$1:$1</definedName>
    <definedName name="_xlnm.Print_Titles" localSheetId="0">NZTL!$1:$1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J2" i="1"/>
  <c r="O3" i="1"/>
  <c r="J3" i="1"/>
  <c r="O4" i="1"/>
  <c r="J4" i="1"/>
  <c r="H5" i="1"/>
  <c r="J5" i="1" s="1"/>
  <c r="O5" i="1"/>
  <c r="O6" i="1"/>
  <c r="J6" i="1"/>
  <c r="O7" i="1"/>
  <c r="J7" i="1"/>
  <c r="O2" i="6"/>
  <c r="J2" i="6"/>
  <c r="O3" i="6"/>
  <c r="J3" i="6"/>
  <c r="L4" i="6"/>
  <c r="H4" i="6"/>
  <c r="J4" i="6" s="1"/>
  <c r="O4" i="6"/>
  <c r="O8" i="1"/>
  <c r="J8" i="1"/>
  <c r="O9" i="1"/>
  <c r="J9" i="1"/>
  <c r="O10" i="1"/>
  <c r="J10" i="1"/>
  <c r="O11" i="1"/>
  <c r="J11" i="1"/>
  <c r="O12" i="1"/>
  <c r="J12" i="1"/>
  <c r="O13" i="1"/>
  <c r="J13" i="1"/>
  <c r="O14" i="1"/>
  <c r="J14" i="1"/>
  <c r="O15" i="1"/>
  <c r="J15" i="1"/>
  <c r="O16" i="1"/>
  <c r="J16" i="1"/>
  <c r="O17" i="1"/>
  <c r="J17" i="1"/>
  <c r="O18" i="1"/>
  <c r="J18" i="1"/>
  <c r="H19" i="1"/>
  <c r="J19" i="1" s="1"/>
  <c r="O19" i="1"/>
  <c r="O20" i="1"/>
  <c r="J20" i="1"/>
  <c r="O21" i="1"/>
  <c r="J21" i="1"/>
  <c r="O22" i="1"/>
  <c r="J22" i="1"/>
  <c r="O23" i="1"/>
  <c r="J23" i="1"/>
  <c r="I553" i="1"/>
  <c r="O24" i="1"/>
  <c r="J24" i="1"/>
  <c r="O25" i="1"/>
  <c r="J25" i="1"/>
  <c r="O26" i="1"/>
  <c r="J26" i="1"/>
  <c r="O27" i="1"/>
  <c r="J27" i="1"/>
  <c r="O28" i="1"/>
  <c r="J28" i="1"/>
  <c r="O29" i="1"/>
  <c r="J29" i="1"/>
  <c r="O30" i="1"/>
  <c r="J30" i="1"/>
  <c r="O31" i="1"/>
  <c r="J31" i="1"/>
  <c r="O32" i="1"/>
  <c r="J32" i="1"/>
  <c r="O33" i="1"/>
  <c r="J33" i="1"/>
  <c r="O34" i="1"/>
  <c r="J34" i="1"/>
  <c r="O2" i="7"/>
  <c r="J2" i="7"/>
  <c r="O3" i="7"/>
  <c r="J3" i="7"/>
  <c r="O5" i="6"/>
  <c r="J5" i="6"/>
  <c r="O6" i="6"/>
  <c r="J6" i="6"/>
  <c r="O35" i="1"/>
  <c r="J35" i="1"/>
  <c r="O36" i="1"/>
  <c r="J36" i="1"/>
  <c r="O37" i="1"/>
  <c r="J37" i="1"/>
  <c r="O38" i="1"/>
  <c r="J38" i="1"/>
  <c r="O39" i="1"/>
  <c r="J39" i="1"/>
  <c r="O40" i="1"/>
  <c r="J40" i="1"/>
  <c r="O7" i="6"/>
  <c r="J7" i="6"/>
  <c r="O8" i="6"/>
  <c r="J8" i="6"/>
  <c r="O4" i="7"/>
  <c r="J4" i="7"/>
  <c r="O41" i="1"/>
  <c r="J41" i="1"/>
  <c r="O42" i="1"/>
  <c r="J42" i="1"/>
  <c r="O43" i="1"/>
  <c r="J43" i="1"/>
  <c r="O44" i="1"/>
  <c r="J44" i="1"/>
  <c r="O9" i="6"/>
  <c r="J9" i="6"/>
  <c r="O10" i="6"/>
  <c r="J10" i="6"/>
  <c r="O11" i="6"/>
  <c r="J11" i="6"/>
  <c r="O12" i="6"/>
  <c r="J12" i="6"/>
  <c r="O13" i="6"/>
  <c r="J13" i="6"/>
  <c r="I290" i="1"/>
  <c r="O45" i="1"/>
  <c r="J45" i="1"/>
  <c r="O46" i="1"/>
  <c r="J46" i="1"/>
  <c r="O47" i="1"/>
  <c r="J47" i="1"/>
  <c r="O48" i="1"/>
  <c r="J48" i="1"/>
  <c r="O49" i="1"/>
  <c r="J49" i="1"/>
  <c r="O50" i="1"/>
  <c r="J50" i="1"/>
  <c r="O51" i="1"/>
  <c r="J51" i="1"/>
  <c r="O52" i="1"/>
  <c r="J52" i="1"/>
  <c r="O53" i="1"/>
  <c r="J53" i="1"/>
  <c r="O54" i="1"/>
  <c r="J54" i="1"/>
  <c r="O14" i="6"/>
  <c r="J14" i="6"/>
  <c r="H55" i="1"/>
  <c r="J55" i="1" s="1"/>
  <c r="O55" i="1"/>
  <c r="O56" i="1"/>
  <c r="J56" i="1"/>
  <c r="O15" i="6"/>
  <c r="J15" i="6"/>
  <c r="O16" i="6"/>
  <c r="J16" i="6"/>
  <c r="O17" i="6"/>
  <c r="J17" i="6"/>
  <c r="O18" i="6"/>
  <c r="J18" i="6"/>
  <c r="O19" i="6"/>
  <c r="J19" i="6"/>
  <c r="J20" i="6"/>
  <c r="J21" i="6"/>
  <c r="J22" i="6"/>
  <c r="O20" i="6"/>
  <c r="O21" i="6"/>
  <c r="O22" i="6"/>
  <c r="O23" i="6"/>
  <c r="J23" i="6"/>
  <c r="O24" i="6"/>
  <c r="J24" i="6"/>
  <c r="O25" i="6"/>
  <c r="J25" i="6"/>
  <c r="O26" i="6"/>
  <c r="J26" i="6"/>
  <c r="O57" i="1"/>
  <c r="J57" i="1"/>
  <c r="O58" i="1"/>
  <c r="J58" i="1"/>
  <c r="O59" i="1"/>
  <c r="J59" i="1"/>
  <c r="O60" i="1"/>
  <c r="J60" i="1"/>
  <c r="O61" i="1"/>
  <c r="J61" i="1"/>
  <c r="O62" i="1"/>
  <c r="J62" i="1"/>
  <c r="O63" i="1"/>
  <c r="J63" i="1"/>
  <c r="O64" i="1"/>
  <c r="J64" i="1"/>
  <c r="O65" i="1"/>
  <c r="J65" i="1"/>
  <c r="O66" i="1"/>
  <c r="J66" i="1"/>
  <c r="O67" i="1"/>
  <c r="J67" i="1"/>
  <c r="L68" i="1"/>
  <c r="H68" i="1"/>
  <c r="J68" i="1" s="1"/>
  <c r="O68" i="1"/>
  <c r="O69" i="1"/>
  <c r="J69" i="1"/>
  <c r="O5" i="7"/>
  <c r="J5" i="7"/>
  <c r="O70" i="1"/>
  <c r="J70" i="1"/>
  <c r="O71" i="1"/>
  <c r="J71" i="1"/>
  <c r="O72" i="1"/>
  <c r="J72" i="1"/>
  <c r="O73" i="1"/>
  <c r="J73" i="1"/>
  <c r="O74" i="1"/>
  <c r="J74" i="1"/>
  <c r="O75" i="1"/>
  <c r="J75" i="1"/>
  <c r="O27" i="6"/>
  <c r="J27" i="6"/>
  <c r="O28" i="6"/>
  <c r="J28" i="6"/>
  <c r="O29" i="6"/>
  <c r="J29" i="6"/>
  <c r="O30" i="6"/>
  <c r="J30" i="6"/>
  <c r="O31" i="6"/>
  <c r="J31" i="6"/>
  <c r="H32" i="6"/>
  <c r="J32" i="6" s="1"/>
  <c r="O32" i="6"/>
  <c r="O6" i="7"/>
  <c r="J6" i="7"/>
  <c r="O76" i="1"/>
  <c r="J76" i="1"/>
  <c r="O77" i="1"/>
  <c r="J77" i="1"/>
  <c r="O78" i="1"/>
  <c r="J78" i="1"/>
  <c r="O79" i="1"/>
  <c r="J79" i="1"/>
  <c r="O33" i="6"/>
  <c r="J33" i="6"/>
  <c r="O80" i="1"/>
  <c r="J80" i="1"/>
  <c r="O81" i="1"/>
  <c r="J81" i="1"/>
  <c r="O82" i="1"/>
  <c r="J82" i="1"/>
  <c r="H83" i="1"/>
  <c r="J83" i="1" s="1"/>
  <c r="O83" i="1"/>
  <c r="O84" i="1"/>
  <c r="J84" i="1"/>
  <c r="O85" i="1"/>
  <c r="J85" i="1"/>
  <c r="H34" i="6"/>
  <c r="J34" i="6" s="1"/>
  <c r="O34" i="6"/>
  <c r="O86" i="1"/>
  <c r="J86" i="1"/>
  <c r="O87" i="1"/>
  <c r="J87" i="1"/>
  <c r="O35" i="6"/>
  <c r="J35" i="6"/>
  <c r="O88" i="1"/>
  <c r="J88" i="1"/>
  <c r="O89" i="1"/>
  <c r="J89" i="1"/>
  <c r="O36" i="6"/>
  <c r="J36" i="6"/>
  <c r="O90" i="1"/>
  <c r="J90" i="1"/>
  <c r="O91" i="1" l="1"/>
  <c r="J91" i="1"/>
  <c r="O92" i="1"/>
  <c r="J92" i="1"/>
  <c r="O93" i="1"/>
  <c r="J93" i="1"/>
  <c r="O94" i="1"/>
  <c r="J94" i="1"/>
  <c r="O37" i="6"/>
  <c r="J37" i="6"/>
  <c r="O7" i="7"/>
  <c r="J7" i="7"/>
  <c r="O95" i="1"/>
  <c r="J95" i="1"/>
  <c r="O96" i="1"/>
  <c r="J96" i="1"/>
  <c r="O97" i="1"/>
  <c r="J97" i="1"/>
  <c r="O8" i="7"/>
  <c r="J8" i="7"/>
  <c r="O98" i="1"/>
  <c r="J98" i="1"/>
  <c r="O38" i="6"/>
  <c r="J38" i="6"/>
  <c r="O99" i="1"/>
  <c r="J99" i="1"/>
  <c r="O100" i="1"/>
  <c r="J100" i="1"/>
  <c r="O101" i="1"/>
  <c r="J101" i="1"/>
  <c r="O102" i="1"/>
  <c r="J102" i="1"/>
  <c r="O9" i="7"/>
  <c r="J9" i="7"/>
  <c r="O103" i="1"/>
  <c r="J103" i="1"/>
  <c r="O104" i="1"/>
  <c r="J104" i="1"/>
  <c r="O39" i="6"/>
  <c r="J39" i="6"/>
  <c r="O105" i="1"/>
  <c r="J105" i="1"/>
  <c r="O106" i="1"/>
  <c r="J106" i="1"/>
  <c r="O107" i="1"/>
  <c r="J107" i="1"/>
  <c r="O40" i="6"/>
  <c r="J40" i="6"/>
  <c r="O108" i="1"/>
  <c r="J108" i="1"/>
  <c r="O109" i="1"/>
  <c r="J109" i="1"/>
  <c r="O110" i="1"/>
  <c r="J110" i="1"/>
  <c r="O111" i="1"/>
  <c r="J111" i="1"/>
  <c r="O112" i="1"/>
  <c r="J112" i="1"/>
  <c r="O113" i="1"/>
  <c r="J113" i="1"/>
  <c r="O114" i="1"/>
  <c r="J114" i="1"/>
  <c r="O115" i="1"/>
  <c r="J115" i="1"/>
  <c r="H116" i="1"/>
  <c r="J116" i="1" s="1"/>
  <c r="O116" i="1"/>
  <c r="O117" i="1"/>
  <c r="J117" i="1"/>
  <c r="O118" i="1"/>
  <c r="J118" i="1"/>
  <c r="O119" i="1"/>
  <c r="J119" i="1"/>
  <c r="O120" i="1"/>
  <c r="J120" i="1"/>
  <c r="O121" i="1"/>
  <c r="J121" i="1"/>
  <c r="O122" i="1"/>
  <c r="J122" i="1"/>
  <c r="O123" i="1"/>
  <c r="J123" i="1"/>
  <c r="O124" i="1"/>
  <c r="J124" i="1"/>
  <c r="O125" i="1"/>
  <c r="J125" i="1"/>
  <c r="O126" i="1"/>
  <c r="J126" i="1"/>
  <c r="O127" i="1"/>
  <c r="J127" i="1"/>
  <c r="O128" i="1"/>
  <c r="J128" i="1"/>
  <c r="O41" i="6"/>
  <c r="J41" i="6"/>
  <c r="O42" i="6"/>
  <c r="J42" i="6"/>
  <c r="O43" i="6"/>
  <c r="J43" i="6"/>
  <c r="O129" i="1"/>
  <c r="J129" i="1"/>
  <c r="O130" i="1"/>
  <c r="J130" i="1"/>
  <c r="O131" i="1"/>
  <c r="J131" i="1"/>
  <c r="O132" i="1"/>
  <c r="J132" i="1"/>
  <c r="O133" i="1"/>
  <c r="J133" i="1"/>
  <c r="O134" i="1"/>
  <c r="J134" i="1"/>
  <c r="O135" i="1"/>
  <c r="J135" i="1"/>
  <c r="O136" i="1"/>
  <c r="J136" i="1"/>
  <c r="O137" i="1"/>
  <c r="J137" i="1"/>
  <c r="O138" i="1"/>
  <c r="J138" i="1"/>
  <c r="O139" i="1"/>
  <c r="J139" i="1"/>
  <c r="O140" i="1"/>
  <c r="J140" i="1"/>
  <c r="O141" i="1"/>
  <c r="J141" i="1"/>
  <c r="O142" i="1"/>
  <c r="J142" i="1"/>
  <c r="O143" i="1"/>
  <c r="J143" i="1"/>
  <c r="O144" i="1"/>
  <c r="J144" i="1"/>
  <c r="O145" i="1"/>
  <c r="J145" i="1"/>
  <c r="O146" i="1"/>
  <c r="J146" i="1"/>
  <c r="O44" i="6"/>
  <c r="J44" i="6"/>
  <c r="O147" i="1"/>
  <c r="J147" i="1"/>
  <c r="O45" i="6"/>
  <c r="J45" i="6"/>
  <c r="O46" i="6"/>
  <c r="J46" i="6"/>
  <c r="O47" i="6"/>
  <c r="J47" i="6"/>
  <c r="O48" i="6"/>
  <c r="J48" i="6"/>
  <c r="O148" i="1"/>
  <c r="J148" i="1"/>
  <c r="O149" i="1"/>
  <c r="J149" i="1"/>
  <c r="O49" i="6"/>
  <c r="J49" i="6"/>
  <c r="O150" i="1"/>
  <c r="J150" i="1"/>
  <c r="O151" i="1"/>
  <c r="J151" i="1"/>
  <c r="O152" i="1"/>
  <c r="J152" i="1"/>
  <c r="O153" i="1"/>
  <c r="J153" i="1"/>
  <c r="O154" i="1"/>
  <c r="J154" i="1"/>
  <c r="O50" i="6"/>
  <c r="J50" i="6"/>
  <c r="O155" i="1"/>
  <c r="J155" i="1"/>
  <c r="O156" i="1"/>
  <c r="J156" i="1"/>
  <c r="O10" i="7"/>
  <c r="J10" i="7"/>
  <c r="O157" i="1"/>
  <c r="J157" i="1"/>
  <c r="O158" i="1"/>
  <c r="J158" i="1"/>
  <c r="O159" i="1"/>
  <c r="J159" i="1"/>
  <c r="O160" i="1" l="1"/>
  <c r="J160" i="1"/>
  <c r="O161" i="1"/>
  <c r="J161" i="1"/>
  <c r="O162" i="1"/>
  <c r="J162" i="1"/>
  <c r="O51" i="6"/>
  <c r="J51" i="6"/>
  <c r="O52" i="6"/>
  <c r="J52" i="6"/>
  <c r="O11" i="7"/>
  <c r="J11" i="7"/>
  <c r="O163" i="1"/>
  <c r="J163" i="1"/>
  <c r="O164" i="1"/>
  <c r="J164" i="1"/>
  <c r="O165" i="1"/>
  <c r="J165" i="1"/>
  <c r="O166" i="1"/>
  <c r="J166" i="1"/>
  <c r="O167" i="1"/>
  <c r="J167" i="1"/>
  <c r="O168" i="1"/>
  <c r="J168" i="1"/>
  <c r="O169" i="1"/>
  <c r="J169" i="1"/>
  <c r="O170" i="1"/>
  <c r="J170" i="1"/>
  <c r="O171" i="1"/>
  <c r="J171" i="1"/>
  <c r="O172" i="1"/>
  <c r="J172" i="1"/>
  <c r="O173" i="1"/>
  <c r="J173" i="1"/>
  <c r="O174" i="1"/>
  <c r="J174" i="1"/>
  <c r="O175" i="1"/>
  <c r="J175" i="1"/>
  <c r="O176" i="1"/>
  <c r="J176" i="1"/>
  <c r="O53" i="6"/>
  <c r="J53" i="6"/>
  <c r="H54" i="6"/>
  <c r="J54" i="6" s="1"/>
  <c r="O54" i="6"/>
  <c r="O177" i="1"/>
  <c r="J177" i="1"/>
  <c r="O178" i="1"/>
  <c r="J178" i="1"/>
  <c r="O179" i="1"/>
  <c r="J179" i="1"/>
  <c r="O180" i="1"/>
  <c r="J180" i="1"/>
  <c r="O181" i="1"/>
  <c r="J181" i="1"/>
  <c r="O55" i="6"/>
  <c r="J55" i="6"/>
  <c r="O56" i="6"/>
  <c r="J56" i="6"/>
  <c r="O182" i="1"/>
  <c r="J182" i="1"/>
  <c r="O183" i="1"/>
  <c r="J183" i="1"/>
  <c r="O184" i="1"/>
  <c r="J184" i="1"/>
  <c r="O57" i="6"/>
  <c r="J57" i="6"/>
  <c r="O58" i="6"/>
  <c r="J58" i="6"/>
  <c r="O185" i="1"/>
  <c r="J185" i="1"/>
  <c r="O186" i="1"/>
  <c r="J186" i="1"/>
  <c r="O187" i="1"/>
  <c r="J187" i="1"/>
  <c r="O188" i="1"/>
  <c r="J188" i="1"/>
  <c r="O189" i="1"/>
  <c r="J189" i="1"/>
  <c r="O190" i="1"/>
  <c r="J190" i="1"/>
  <c r="O191" i="1"/>
  <c r="J191" i="1"/>
  <c r="O192" i="1"/>
  <c r="J192" i="1"/>
  <c r="O193" i="1"/>
  <c r="J193" i="1"/>
  <c r="O194" i="1"/>
  <c r="J194" i="1"/>
  <c r="H195" i="1"/>
  <c r="J195" i="1" s="1"/>
  <c r="O195" i="1"/>
  <c r="O59" i="6"/>
  <c r="J59" i="6"/>
  <c r="O196" i="1"/>
  <c r="J196" i="1"/>
  <c r="O197" i="1"/>
  <c r="J197" i="1"/>
  <c r="O198" i="1"/>
  <c r="J198" i="1"/>
  <c r="O60" i="6"/>
  <c r="J60" i="6"/>
  <c r="O61" i="6"/>
  <c r="J61" i="6"/>
  <c r="O62" i="6"/>
  <c r="J62" i="6"/>
  <c r="O199" i="1"/>
  <c r="J199" i="1"/>
  <c r="O200" i="1"/>
  <c r="J200" i="1"/>
  <c r="O63" i="6"/>
  <c r="J63" i="6"/>
  <c r="H201" i="1"/>
  <c r="J201" i="1" s="1"/>
  <c r="O201" i="1"/>
  <c r="O202" i="1"/>
  <c r="J202" i="1"/>
  <c r="O64" i="6"/>
  <c r="J64" i="6"/>
  <c r="O203" i="1"/>
  <c r="J203" i="1"/>
  <c r="O204" i="1"/>
  <c r="J204" i="1"/>
  <c r="O205" i="1"/>
  <c r="J205" i="1"/>
  <c r="O206" i="1"/>
  <c r="J206" i="1"/>
  <c r="O12" i="7"/>
  <c r="J12" i="7"/>
  <c r="O65" i="6"/>
  <c r="J65" i="6"/>
  <c r="O207" i="1"/>
  <c r="J207" i="1"/>
  <c r="O208" i="1"/>
  <c r="J208" i="1"/>
  <c r="O209" i="1"/>
  <c r="J209" i="1"/>
  <c r="O210" i="1"/>
  <c r="J210" i="1"/>
  <c r="O211" i="1"/>
  <c r="J211" i="1"/>
  <c r="O66" i="6"/>
  <c r="J66" i="6"/>
  <c r="O212" i="1"/>
  <c r="J212" i="1"/>
  <c r="O213" i="1"/>
  <c r="J213" i="1"/>
  <c r="O67" i="6"/>
  <c r="J67" i="6"/>
  <c r="O13" i="7"/>
  <c r="J13" i="7"/>
  <c r="O214" i="1"/>
  <c r="J214" i="1"/>
  <c r="O215" i="1"/>
  <c r="J215" i="1"/>
  <c r="O216" i="1"/>
  <c r="J216" i="1"/>
  <c r="O217" i="1"/>
  <c r="J217" i="1"/>
  <c r="O68" i="6"/>
  <c r="J68" i="6"/>
  <c r="O218" i="1"/>
  <c r="J218" i="1"/>
  <c r="O69" i="6"/>
  <c r="J69" i="6"/>
  <c r="I436" i="1"/>
  <c r="O219" i="1"/>
  <c r="J219" i="1"/>
  <c r="O220" i="1"/>
  <c r="J220" i="1"/>
  <c r="O221" i="1"/>
  <c r="J221" i="1"/>
  <c r="O222" i="1"/>
  <c r="J222" i="1"/>
  <c r="L223" i="1"/>
  <c r="H223" i="1"/>
  <c r="J223" i="1" s="1"/>
  <c r="O223" i="1"/>
  <c r="O224" i="1"/>
  <c r="J224" i="1"/>
  <c r="O225" i="1"/>
  <c r="J225" i="1"/>
  <c r="O226" i="1"/>
  <c r="J226" i="1"/>
  <c r="O227" i="1"/>
  <c r="J227" i="1"/>
  <c r="O228" i="1"/>
  <c r="J228" i="1"/>
  <c r="O229" i="1"/>
  <c r="J229" i="1"/>
  <c r="O230" i="1"/>
  <c r="J230" i="1"/>
  <c r="O231" i="1"/>
  <c r="J231" i="1"/>
  <c r="O70" i="6"/>
  <c r="J70" i="6"/>
  <c r="O232" i="1"/>
  <c r="J232" i="1"/>
  <c r="O233" i="1"/>
  <c r="J233" i="1"/>
  <c r="H234" i="1"/>
  <c r="J234" i="1" s="1"/>
  <c r="O234" i="1"/>
  <c r="O235" i="1"/>
  <c r="J235" i="1"/>
  <c r="I472" i="1"/>
  <c r="O236" i="1"/>
  <c r="J236" i="1"/>
  <c r="O237" i="1"/>
  <c r="J237" i="1"/>
  <c r="O71" i="6"/>
  <c r="J71" i="6"/>
  <c r="O238" i="1"/>
  <c r="J238" i="1"/>
  <c r="O72" i="6"/>
  <c r="J72" i="6"/>
  <c r="O239" i="1"/>
  <c r="J239" i="1"/>
  <c r="O240" i="1"/>
  <c r="J240" i="1"/>
  <c r="O241" i="1"/>
  <c r="J241" i="1"/>
  <c r="O242" i="1"/>
  <c r="J242" i="1"/>
  <c r="O243" i="1"/>
  <c r="J243" i="1"/>
  <c r="O244" i="1"/>
  <c r="J244" i="1"/>
  <c r="O245" i="1"/>
  <c r="J245" i="1"/>
  <c r="O246" i="1"/>
  <c r="J246" i="1"/>
  <c r="H247" i="1"/>
  <c r="J247" i="1" s="1"/>
  <c r="O247" i="1"/>
  <c r="O248" i="1"/>
  <c r="J248" i="1"/>
  <c r="O249" i="1"/>
  <c r="J249" i="1"/>
  <c r="O250" i="1"/>
  <c r="J250" i="1"/>
  <c r="O251" i="1"/>
  <c r="J251" i="1"/>
  <c r="O252" i="1"/>
  <c r="J252" i="1"/>
  <c r="O73" i="6"/>
  <c r="J73" i="6"/>
  <c r="O253" i="1"/>
  <c r="J253" i="1"/>
  <c r="O74" i="6"/>
  <c r="J74" i="6"/>
  <c r="J254" i="1"/>
  <c r="J255" i="1"/>
  <c r="O254" i="1"/>
  <c r="O255" i="1"/>
  <c r="O256" i="1"/>
  <c r="J256" i="1"/>
  <c r="O75" i="6"/>
  <c r="J75" i="6"/>
  <c r="O257" i="1"/>
  <c r="J257" i="1"/>
  <c r="O258" i="1"/>
  <c r="J258" i="1"/>
  <c r="O76" i="6"/>
  <c r="J76" i="6"/>
  <c r="O259" i="1"/>
  <c r="J259" i="1"/>
  <c r="O260" i="1"/>
  <c r="J260" i="1"/>
  <c r="O261" i="1"/>
  <c r="J261" i="1"/>
  <c r="H262" i="1"/>
  <c r="J262" i="1" s="1"/>
  <c r="O262" i="1"/>
  <c r="O263" i="1"/>
  <c r="J263" i="1"/>
  <c r="O264" i="1"/>
  <c r="J264" i="1"/>
  <c r="O77" i="6"/>
  <c r="J77" i="6"/>
  <c r="O78" i="6"/>
  <c r="J78" i="6"/>
  <c r="O79" i="6"/>
  <c r="J79" i="6"/>
  <c r="O80" i="6"/>
  <c r="J80" i="6"/>
  <c r="L265" i="1"/>
  <c r="H265" i="1"/>
  <c r="J265" i="1" s="1"/>
  <c r="O265" i="1"/>
  <c r="O266" i="1"/>
  <c r="J266" i="1"/>
  <c r="O267" i="1"/>
  <c r="J267" i="1"/>
  <c r="O268" i="1"/>
  <c r="J268" i="1"/>
  <c r="O269" i="1"/>
  <c r="J269" i="1"/>
  <c r="O270" i="1"/>
  <c r="J270" i="1"/>
  <c r="O271" i="1"/>
  <c r="J271" i="1"/>
  <c r="O272" i="1"/>
  <c r="J272" i="1"/>
  <c r="O273" i="1"/>
  <c r="J273" i="1"/>
  <c r="O14" i="7"/>
  <c r="J14" i="7"/>
  <c r="O81" i="6"/>
  <c r="J81" i="6"/>
  <c r="O82" i="6"/>
  <c r="J82" i="6"/>
  <c r="O274" i="1"/>
  <c r="J274" i="1"/>
  <c r="O275" i="1"/>
  <c r="J275" i="1"/>
  <c r="O276" i="1"/>
  <c r="J276" i="1"/>
  <c r="O277" i="1"/>
  <c r="J277" i="1"/>
  <c r="O278" i="1"/>
  <c r="J278" i="1"/>
  <c r="O279" i="1"/>
  <c r="J279" i="1"/>
  <c r="O280" i="1"/>
  <c r="J280" i="1"/>
  <c r="O281" i="1"/>
  <c r="J281" i="1"/>
  <c r="O282" i="1"/>
  <c r="J282" i="1"/>
  <c r="O283" i="1"/>
  <c r="J283" i="1"/>
  <c r="O15" i="7"/>
  <c r="J15" i="7"/>
  <c r="O83" i="6"/>
  <c r="J83" i="6"/>
  <c r="O284" i="1"/>
  <c r="J284" i="1"/>
  <c r="O285" i="1"/>
  <c r="J285" i="1"/>
  <c r="O286" i="1"/>
  <c r="J286" i="1"/>
  <c r="O287" i="1"/>
  <c r="J287" i="1"/>
  <c r="O288" i="1"/>
  <c r="O289" i="1"/>
  <c r="O290" i="1"/>
  <c r="O291" i="1"/>
  <c r="O292" i="1"/>
  <c r="J288" i="1"/>
  <c r="J289" i="1"/>
  <c r="L290" i="1"/>
  <c r="H290" i="1"/>
  <c r="J290" i="1" s="1"/>
  <c r="J291" i="1"/>
  <c r="J292" i="1"/>
  <c r="J293" i="1" l="1"/>
  <c r="O84" i="6"/>
  <c r="J84" i="6"/>
  <c r="J294" i="1"/>
  <c r="J295" i="1"/>
  <c r="J296" i="1"/>
  <c r="J297" i="1"/>
  <c r="J298" i="1"/>
  <c r="J299" i="1"/>
  <c r="J300" i="1"/>
  <c r="J301" i="1"/>
  <c r="J302" i="1"/>
  <c r="O85" i="6"/>
  <c r="J85" i="6"/>
  <c r="J303" i="1"/>
  <c r="J304" i="1"/>
  <c r="O86" i="6"/>
  <c r="J86" i="6"/>
  <c r="O87" i="6"/>
  <c r="J87" i="6"/>
  <c r="O88" i="6"/>
  <c r="J88" i="6"/>
  <c r="O89" i="6"/>
  <c r="J89" i="6"/>
  <c r="J305" i="1"/>
  <c r="J306" i="1"/>
  <c r="J307" i="1"/>
  <c r="J308" i="1"/>
  <c r="O16" i="7"/>
  <c r="J16" i="7"/>
  <c r="J309" i="1"/>
  <c r="J310" i="1"/>
  <c r="J311" i="1"/>
  <c r="J312" i="1"/>
  <c r="J313" i="1"/>
  <c r="J314" i="1"/>
  <c r="J315" i="1"/>
  <c r="J316" i="1"/>
  <c r="J317" i="1"/>
  <c r="J318" i="1"/>
  <c r="J319" i="1"/>
  <c r="H320" i="1"/>
  <c r="J320" i="1" s="1"/>
  <c r="J321" i="1"/>
  <c r="J322" i="1"/>
  <c r="J323" i="1"/>
  <c r="J324" i="1"/>
  <c r="J325" i="1"/>
  <c r="J326" i="1"/>
  <c r="J327" i="1"/>
  <c r="J328" i="1"/>
  <c r="O90" i="6"/>
  <c r="J90" i="6"/>
  <c r="O91" i="6"/>
  <c r="J91" i="6"/>
  <c r="O92" i="6"/>
  <c r="J92" i="6"/>
  <c r="O93" i="6"/>
  <c r="J93" i="6"/>
  <c r="J329" i="1"/>
  <c r="H330" i="1"/>
  <c r="J330" i="1" s="1"/>
  <c r="O94" i="6"/>
  <c r="J94" i="6"/>
  <c r="J331" i="1"/>
  <c r="J332" i="1"/>
  <c r="J333" i="1"/>
  <c r="J334" i="1"/>
  <c r="O95" i="6"/>
  <c r="J95" i="6"/>
  <c r="L335" i="1"/>
  <c r="J335" i="1"/>
  <c r="L336" i="1"/>
  <c r="H336" i="1"/>
  <c r="J336" i="1" s="1"/>
  <c r="O96" i="6"/>
  <c r="J96" i="6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O17" i="7"/>
  <c r="J17" i="7"/>
  <c r="J357" i="1"/>
  <c r="J358" i="1"/>
  <c r="J359" i="1"/>
  <c r="H360" i="1"/>
  <c r="J360" i="1" s="1"/>
  <c r="O97" i="6"/>
  <c r="J97" i="6"/>
  <c r="J361" i="1"/>
  <c r="J362" i="1"/>
  <c r="J363" i="1"/>
  <c r="J364" i="1"/>
  <c r="J365" i="1"/>
  <c r="J366" i="1"/>
  <c r="J367" i="1"/>
  <c r="J368" i="1"/>
  <c r="L369" i="1"/>
  <c r="H369" i="1"/>
  <c r="J369" i="1" s="1"/>
  <c r="J370" i="1"/>
  <c r="L371" i="1"/>
  <c r="H371" i="1"/>
  <c r="J371" i="1" s="1"/>
  <c r="J372" i="1"/>
  <c r="J373" i="1"/>
  <c r="J374" i="1"/>
  <c r="J375" i="1"/>
  <c r="J376" i="1"/>
  <c r="J377" i="1"/>
  <c r="O98" i="6"/>
  <c r="J98" i="6"/>
  <c r="O99" i="6"/>
  <c r="J99" i="6"/>
  <c r="J378" i="1"/>
  <c r="O100" i="6"/>
  <c r="J100" i="6"/>
  <c r="J379" i="1"/>
  <c r="J380" i="1"/>
  <c r="J381" i="1"/>
  <c r="J382" i="1"/>
  <c r="J383" i="1"/>
  <c r="J384" i="1"/>
  <c r="J385" i="1"/>
  <c r="O101" i="6"/>
  <c r="J101" i="6"/>
  <c r="J386" i="1"/>
  <c r="J387" i="1"/>
  <c r="J388" i="1"/>
  <c r="J389" i="1"/>
  <c r="O102" i="6"/>
  <c r="J102" i="6"/>
  <c r="J390" i="1"/>
  <c r="J391" i="1"/>
  <c r="J392" i="1"/>
  <c r="J393" i="1"/>
  <c r="J394" i="1"/>
  <c r="J395" i="1"/>
  <c r="J396" i="1"/>
  <c r="O103" i="6"/>
  <c r="J103" i="6"/>
  <c r="J397" i="1"/>
  <c r="J398" i="1"/>
  <c r="J399" i="1"/>
  <c r="J400" i="1"/>
  <c r="H401" i="1"/>
  <c r="J401" i="1" s="1"/>
  <c r="O104" i="6"/>
  <c r="J104" i="6"/>
  <c r="J402" i="1"/>
  <c r="J403" i="1"/>
  <c r="J404" i="1"/>
  <c r="O18" i="7"/>
  <c r="J18" i="7"/>
  <c r="J405" i="1"/>
  <c r="J406" i="1"/>
  <c r="L407" i="1"/>
  <c r="H407" i="1"/>
  <c r="J407" i="1" s="1"/>
  <c r="L408" i="1"/>
  <c r="H408" i="1"/>
  <c r="J408" i="1" s="1"/>
  <c r="H409" i="1"/>
  <c r="J409" i="1" s="1"/>
  <c r="J410" i="1"/>
  <c r="L411" i="1"/>
  <c r="H411" i="1"/>
  <c r="J411" i="1" s="1"/>
  <c r="O105" i="6"/>
  <c r="J105" i="6"/>
  <c r="O106" i="6"/>
  <c r="J106" i="6"/>
  <c r="H412" i="1"/>
  <c r="J412" i="1" s="1"/>
  <c r="O107" i="6"/>
  <c r="J107" i="6"/>
  <c r="J413" i="1"/>
  <c r="J414" i="1"/>
  <c r="O108" i="6"/>
  <c r="J108" i="6"/>
  <c r="J415" i="1"/>
  <c r="J416" i="1"/>
  <c r="J417" i="1"/>
  <c r="H418" i="1"/>
  <c r="J418" i="1" s="1"/>
  <c r="J419" i="1"/>
  <c r="J420" i="1"/>
  <c r="J421" i="1"/>
  <c r="J422" i="1"/>
  <c r="H423" i="1"/>
  <c r="J423" i="1" s="1"/>
  <c r="L423" i="1"/>
  <c r="O19" i="7"/>
  <c r="J19" i="7"/>
  <c r="O20" i="7"/>
  <c r="J20" i="7"/>
  <c r="L424" i="1"/>
  <c r="H424" i="1"/>
  <c r="J424" i="1" s="1"/>
  <c r="J425" i="1"/>
  <c r="O109" i="6"/>
  <c r="J109" i="6"/>
  <c r="J426" i="1"/>
  <c r="J427" i="1"/>
  <c r="O110" i="6"/>
  <c r="J110" i="6"/>
  <c r="J428" i="1"/>
  <c r="J429" i="1"/>
  <c r="J430" i="1"/>
  <c r="O111" i="6"/>
  <c r="J111" i="6"/>
  <c r="J431" i="1"/>
  <c r="J432" i="1"/>
  <c r="J433" i="1"/>
  <c r="H434" i="1"/>
  <c r="J434" i="1" s="1"/>
  <c r="J435" i="1"/>
  <c r="J618" i="1"/>
  <c r="J436" i="1"/>
  <c r="O293" i="1"/>
  <c r="O294" i="1"/>
  <c r="O296" i="1"/>
  <c r="O298" i="1"/>
  <c r="O300" i="1"/>
  <c r="O302" i="1"/>
  <c r="O303" i="1"/>
  <c r="O305" i="1"/>
  <c r="O307" i="1"/>
  <c r="O312" i="1"/>
  <c r="O314" i="1"/>
  <c r="O316" i="1"/>
  <c r="O318" i="1"/>
  <c r="O322" i="1"/>
  <c r="O324" i="1"/>
  <c r="O326" i="1"/>
  <c r="O328" i="1"/>
  <c r="O331" i="1"/>
  <c r="O333" i="1"/>
  <c r="O338" i="1"/>
  <c r="O340" i="1"/>
  <c r="O342" i="1"/>
  <c r="O344" i="1"/>
  <c r="O346" i="1"/>
  <c r="O348" i="1"/>
  <c r="O350" i="1"/>
  <c r="O352" i="1"/>
  <c r="O354" i="1"/>
  <c r="O356" i="1"/>
  <c r="O357" i="1"/>
  <c r="O359" i="1"/>
  <c r="O362" i="1"/>
  <c r="O364" i="1"/>
  <c r="O366" i="1"/>
  <c r="O368" i="1"/>
  <c r="O369" i="1"/>
  <c r="O373" i="1"/>
  <c r="O375" i="1"/>
  <c r="O377" i="1"/>
  <c r="O380" i="1"/>
  <c r="O382" i="1"/>
  <c r="O384" i="1"/>
  <c r="O387" i="1"/>
  <c r="O389" i="1"/>
  <c r="O390" i="1"/>
  <c r="O392" i="1"/>
  <c r="O394" i="1"/>
  <c r="O396" i="1"/>
  <c r="O397" i="1"/>
  <c r="O399" i="1"/>
  <c r="O402" i="1"/>
  <c r="O405" i="1"/>
  <c r="O423" i="1"/>
  <c r="O310" i="1"/>
  <c r="O320" i="1"/>
  <c r="O330" i="1"/>
  <c r="O370" i="1"/>
  <c r="O371" i="1"/>
  <c r="O401" i="1"/>
  <c r="O408" i="1"/>
  <c r="O413" i="1"/>
  <c r="O416" i="1"/>
  <c r="O420" i="1"/>
  <c r="O422" i="1"/>
  <c r="O425" i="1"/>
  <c r="O426" i="1"/>
  <c r="O429" i="1"/>
  <c r="O432" i="1"/>
  <c r="O404" i="1"/>
  <c r="O415" i="1"/>
  <c r="O419" i="1"/>
  <c r="O427" i="1"/>
  <c r="O430" i="1"/>
  <c r="O433" i="1"/>
  <c r="O411" i="1"/>
  <c r="O436" i="1"/>
  <c r="O295" i="1"/>
  <c r="O297" i="1"/>
  <c r="O299" i="1"/>
  <c r="O301" i="1"/>
  <c r="O304" i="1"/>
  <c r="O306" i="1"/>
  <c r="O308" i="1"/>
  <c r="O309" i="1"/>
  <c r="O311" i="1"/>
  <c r="O313" i="1"/>
  <c r="O315" i="1"/>
  <c r="O317" i="1"/>
  <c r="O319" i="1"/>
  <c r="O321" i="1"/>
  <c r="O323" i="1"/>
  <c r="O325" i="1"/>
  <c r="O327" i="1"/>
  <c r="O329" i="1"/>
  <c r="O332" i="1"/>
  <c r="O334" i="1"/>
  <c r="O335" i="1"/>
  <c r="O337" i="1"/>
  <c r="O339" i="1"/>
  <c r="O341" i="1"/>
  <c r="O343" i="1"/>
  <c r="O345" i="1"/>
  <c r="O347" i="1"/>
  <c r="O349" i="1"/>
  <c r="O351" i="1"/>
  <c r="O353" i="1"/>
  <c r="O355" i="1"/>
  <c r="O358" i="1"/>
  <c r="O361" i="1"/>
  <c r="O363" i="1"/>
  <c r="O365" i="1"/>
  <c r="O367" i="1"/>
  <c r="O372" i="1"/>
  <c r="O374" i="1"/>
  <c r="O376" i="1"/>
  <c r="O378" i="1"/>
  <c r="O379" i="1"/>
  <c r="O381" i="1"/>
  <c r="O383" i="1"/>
  <c r="O385" i="1"/>
  <c r="O386" i="1"/>
  <c r="O388" i="1"/>
  <c r="O391" i="1"/>
  <c r="O393" i="1"/>
  <c r="O395" i="1"/>
  <c r="O398" i="1"/>
  <c r="O400" i="1"/>
  <c r="O403" i="1"/>
  <c r="O406" i="1"/>
  <c r="O407" i="1"/>
  <c r="O412" i="1"/>
  <c r="O418" i="1"/>
  <c r="O434" i="1"/>
  <c r="O336" i="1"/>
  <c r="O360" i="1"/>
  <c r="O409" i="1"/>
  <c r="O414" i="1"/>
  <c r="O417" i="1"/>
  <c r="O421" i="1"/>
  <c r="O428" i="1"/>
  <c r="O431" i="1"/>
  <c r="O435" i="1"/>
  <c r="O410" i="1"/>
  <c r="O424" i="1"/>
  <c r="J437" i="1" l="1"/>
  <c r="J438" i="1"/>
  <c r="J439" i="1"/>
  <c r="H440" i="1"/>
  <c r="J440" i="1" s="1"/>
  <c r="O112" i="6"/>
  <c r="J112" i="6"/>
  <c r="O113" i="6"/>
  <c r="J113" i="6"/>
  <c r="J441" i="1"/>
  <c r="J442" i="1"/>
  <c r="J443" i="1"/>
  <c r="J444" i="1"/>
  <c r="J445" i="1"/>
  <c r="O114" i="6"/>
  <c r="J114" i="6"/>
  <c r="J446" i="1"/>
  <c r="J447" i="1"/>
  <c r="J448" i="1"/>
  <c r="J449" i="1"/>
  <c r="O439" i="1"/>
  <c r="O446" i="1"/>
  <c r="O438" i="1"/>
  <c r="O448" i="1"/>
  <c r="O442" i="1"/>
  <c r="O443" i="1"/>
  <c r="O449" i="1"/>
  <c r="O444" i="1"/>
  <c r="O437" i="1"/>
  <c r="O445" i="1"/>
  <c r="O447" i="1"/>
  <c r="O441" i="1"/>
  <c r="O440" i="1"/>
  <c r="J450" i="1" l="1"/>
  <c r="O115" i="6"/>
  <c r="J115" i="6"/>
  <c r="O116" i="6"/>
  <c r="J116" i="6"/>
  <c r="O117" i="6"/>
  <c r="J117" i="6"/>
  <c r="O118" i="6"/>
  <c r="J118" i="6"/>
  <c r="O119" i="6"/>
  <c r="J119" i="6"/>
  <c r="J451" i="1"/>
  <c r="J452" i="1"/>
  <c r="H453" i="1"/>
  <c r="J453" i="1" s="1"/>
  <c r="J454" i="1"/>
  <c r="J455" i="1"/>
  <c r="J456" i="1"/>
  <c r="J457" i="1"/>
  <c r="O120" i="6"/>
  <c r="J120" i="6"/>
  <c r="O121" i="6"/>
  <c r="J121" i="6"/>
  <c r="O122" i="6"/>
  <c r="J122" i="6"/>
  <c r="J458" i="1"/>
  <c r="O123" i="6"/>
  <c r="J123" i="6"/>
  <c r="J459" i="1"/>
  <c r="J460" i="1"/>
  <c r="J461" i="1"/>
  <c r="J462" i="1"/>
  <c r="J463" i="1"/>
  <c r="J464" i="1"/>
  <c r="J465" i="1"/>
  <c r="L466" i="1"/>
  <c r="H466" i="1"/>
  <c r="J466" i="1" s="1"/>
  <c r="J467" i="1"/>
  <c r="O124" i="6"/>
  <c r="J124" i="6"/>
  <c r="O125" i="6"/>
  <c r="J125" i="6"/>
  <c r="O21" i="7"/>
  <c r="J21" i="7"/>
  <c r="O22" i="7"/>
  <c r="J22" i="7"/>
  <c r="O23" i="7"/>
  <c r="J23" i="7"/>
  <c r="J468" i="1"/>
  <c r="H469" i="1"/>
  <c r="J469" i="1" s="1"/>
  <c r="H470" i="1"/>
  <c r="J470" i="1" s="1"/>
  <c r="J471" i="1"/>
  <c r="H472" i="1"/>
  <c r="J472" i="1" s="1"/>
  <c r="J473" i="1"/>
  <c r="J474" i="1"/>
  <c r="L475" i="1"/>
  <c r="H475" i="1"/>
  <c r="J475" i="1" s="1"/>
  <c r="O126" i="6"/>
  <c r="J126" i="6"/>
  <c r="O24" i="7"/>
  <c r="J24" i="7"/>
  <c r="O127" i="6"/>
  <c r="J127" i="6"/>
  <c r="O128" i="6"/>
  <c r="J128" i="6"/>
  <c r="O129" i="6"/>
  <c r="J129" i="6"/>
  <c r="O130" i="6"/>
  <c r="J130" i="6"/>
  <c r="O131" i="6"/>
  <c r="J131" i="6"/>
  <c r="J476" i="1"/>
  <c r="J477" i="1"/>
  <c r="J478" i="1"/>
  <c r="J479" i="1"/>
  <c r="J480" i="1"/>
  <c r="J481" i="1"/>
  <c r="L482" i="1"/>
  <c r="H482" i="1"/>
  <c r="J482" i="1" s="1"/>
  <c r="J483" i="1"/>
  <c r="J484" i="1"/>
  <c r="J485" i="1"/>
  <c r="J486" i="1"/>
  <c r="J487" i="1"/>
  <c r="H488" i="1"/>
  <c r="J488" i="1" s="1"/>
  <c r="H489" i="1"/>
  <c r="J489" i="1" s="1"/>
  <c r="J490" i="1"/>
  <c r="O132" i="6"/>
  <c r="J132" i="6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O133" i="6"/>
  <c r="J133" i="6"/>
  <c r="J505" i="1"/>
  <c r="J506" i="1"/>
  <c r="J507" i="1"/>
  <c r="J508" i="1"/>
  <c r="O134" i="6"/>
  <c r="J134" i="6"/>
  <c r="J509" i="1"/>
  <c r="J510" i="1"/>
  <c r="J511" i="1"/>
  <c r="J512" i="1"/>
  <c r="J513" i="1"/>
  <c r="J514" i="1"/>
  <c r="J515" i="1"/>
  <c r="J516" i="1"/>
  <c r="J517" i="1"/>
  <c r="J518" i="1"/>
  <c r="J519" i="1"/>
  <c r="L135" i="6"/>
  <c r="H135" i="6"/>
  <c r="J135" i="6" s="1"/>
  <c r="O135" i="6"/>
  <c r="O136" i="6"/>
  <c r="J136" i="6"/>
  <c r="J520" i="1"/>
  <c r="J521" i="1"/>
  <c r="J522" i="1"/>
  <c r="J524" i="1"/>
  <c r="J527" i="1"/>
  <c r="J528" i="1"/>
  <c r="J529" i="1"/>
  <c r="J531" i="1"/>
  <c r="J532" i="1"/>
  <c r="J535" i="1"/>
  <c r="J536" i="1"/>
  <c r="J537" i="1"/>
  <c r="J538" i="1"/>
  <c r="J539" i="1"/>
  <c r="J540" i="1"/>
  <c r="J541" i="1"/>
  <c r="J543" i="1"/>
  <c r="J544" i="1"/>
  <c r="J546" i="1"/>
  <c r="J547" i="1"/>
  <c r="J548" i="1"/>
  <c r="J549" i="1"/>
  <c r="J550" i="1"/>
  <c r="J551" i="1"/>
  <c r="J552" i="1"/>
  <c r="J553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71" i="1"/>
  <c r="J572" i="1"/>
  <c r="J573" i="1"/>
  <c r="J574" i="1"/>
  <c r="J575" i="1"/>
  <c r="J576" i="1"/>
  <c r="J577" i="1"/>
  <c r="J578" i="1"/>
  <c r="J579" i="1"/>
  <c r="J581" i="1"/>
  <c r="J582" i="1"/>
  <c r="J583" i="1"/>
  <c r="J584" i="1"/>
  <c r="J585" i="1"/>
  <c r="J586" i="1"/>
  <c r="J587" i="1"/>
  <c r="J588" i="1"/>
  <c r="J589" i="1"/>
  <c r="J591" i="1"/>
  <c r="J592" i="1"/>
  <c r="J593" i="1"/>
  <c r="J596" i="1"/>
  <c r="J598" i="1"/>
  <c r="J599" i="1"/>
  <c r="J601" i="1"/>
  <c r="J602" i="1"/>
  <c r="J603" i="1"/>
  <c r="J604" i="1"/>
  <c r="J605" i="1"/>
  <c r="J608" i="1"/>
  <c r="J609" i="1"/>
  <c r="J610" i="1"/>
  <c r="J611" i="1"/>
  <c r="J612" i="1"/>
  <c r="J613" i="1"/>
  <c r="J614" i="1"/>
  <c r="J615" i="1"/>
  <c r="J616" i="1"/>
  <c r="J617" i="1"/>
  <c r="J619" i="1"/>
  <c r="J620" i="1"/>
  <c r="J621" i="1"/>
  <c r="J623" i="1"/>
  <c r="J624" i="1"/>
  <c r="J625" i="1"/>
  <c r="J626" i="1"/>
  <c r="J627" i="1"/>
  <c r="J628" i="1"/>
  <c r="J629" i="1"/>
  <c r="J630" i="1"/>
  <c r="J631" i="1"/>
  <c r="J632" i="1"/>
  <c r="J633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6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6" i="1"/>
  <c r="J687" i="1"/>
  <c r="J688" i="1"/>
  <c r="J689" i="1"/>
  <c r="J690" i="1"/>
  <c r="J691" i="1"/>
  <c r="J692" i="1"/>
  <c r="J693" i="1"/>
  <c r="J696" i="1"/>
  <c r="J699" i="1"/>
  <c r="J700" i="1"/>
  <c r="J701" i="1"/>
  <c r="J702" i="1"/>
  <c r="J704" i="1"/>
  <c r="J705" i="1"/>
  <c r="J706" i="1"/>
  <c r="J707" i="1"/>
  <c r="J708" i="1"/>
  <c r="J709" i="1"/>
  <c r="J710" i="1"/>
  <c r="J711" i="1"/>
  <c r="J712" i="1"/>
  <c r="J714" i="1"/>
  <c r="J715" i="1"/>
  <c r="J716" i="1"/>
  <c r="J717" i="1"/>
  <c r="J718" i="1"/>
  <c r="J724" i="1"/>
  <c r="J725" i="1"/>
  <c r="J726" i="1"/>
  <c r="J727" i="1"/>
  <c r="J728" i="1"/>
  <c r="J729" i="1"/>
  <c r="J730" i="1"/>
  <c r="J731" i="1"/>
  <c r="J733" i="1"/>
  <c r="J734" i="1"/>
  <c r="J738" i="1"/>
  <c r="J739" i="1"/>
  <c r="J740" i="1"/>
  <c r="J741" i="1"/>
  <c r="J742" i="1"/>
  <c r="J743" i="1"/>
  <c r="J745" i="1"/>
  <c r="J746" i="1"/>
  <c r="J747" i="1"/>
  <c r="J748" i="1"/>
  <c r="J749" i="1"/>
  <c r="J750" i="1"/>
  <c r="J753" i="1"/>
  <c r="J754" i="1"/>
  <c r="J755" i="1"/>
  <c r="J757" i="1"/>
  <c r="J758" i="1"/>
  <c r="J760" i="1"/>
  <c r="J762" i="1"/>
  <c r="J766" i="1"/>
  <c r="J767" i="1"/>
  <c r="J768" i="1"/>
  <c r="O25" i="7"/>
  <c r="J25" i="7"/>
  <c r="O26" i="7"/>
  <c r="J26" i="7"/>
  <c r="H523" i="1"/>
  <c r="J523" i="1" s="1"/>
  <c r="H525" i="1"/>
  <c r="J525" i="1" s="1"/>
  <c r="H526" i="1"/>
  <c r="J526" i="1" s="1"/>
  <c r="O137" i="6"/>
  <c r="J137" i="6"/>
  <c r="O138" i="6"/>
  <c r="J138" i="6"/>
  <c r="O139" i="6"/>
  <c r="J139" i="6"/>
  <c r="O140" i="6"/>
  <c r="J140" i="6"/>
  <c r="O141" i="6"/>
  <c r="J141" i="6"/>
  <c r="O142" i="6"/>
  <c r="J142" i="6"/>
  <c r="O143" i="6"/>
  <c r="J143" i="6"/>
  <c r="H530" i="1"/>
  <c r="J530" i="1" s="1"/>
  <c r="H533" i="1"/>
  <c r="J533" i="1" s="1"/>
  <c r="O144" i="6"/>
  <c r="J144" i="6"/>
  <c r="O145" i="6"/>
  <c r="J145" i="6"/>
  <c r="H534" i="1"/>
  <c r="J534" i="1" s="1"/>
  <c r="O146" i="6"/>
  <c r="J146" i="6"/>
  <c r="H542" i="1"/>
  <c r="J542" i="1" s="1"/>
  <c r="L545" i="1"/>
  <c r="H545" i="1"/>
  <c r="J545" i="1" s="1"/>
  <c r="O147" i="6"/>
  <c r="J147" i="6"/>
  <c r="O148" i="6"/>
  <c r="J148" i="6"/>
  <c r="H554" i="1"/>
  <c r="J554" i="1" s="1"/>
  <c r="H149" i="6"/>
  <c r="J149" i="6" s="1"/>
  <c r="O149" i="6"/>
  <c r="O150" i="6"/>
  <c r="J150" i="6"/>
  <c r="O151" i="6"/>
  <c r="J151" i="6"/>
  <c r="O152" i="6"/>
  <c r="J152" i="6"/>
  <c r="H569" i="1"/>
  <c r="J569" i="1" s="1"/>
  <c r="H570" i="1"/>
  <c r="J570" i="1" s="1"/>
  <c r="L153" i="6"/>
  <c r="H153" i="6"/>
  <c r="J153" i="6" s="1"/>
  <c r="O153" i="6"/>
  <c r="O154" i="6"/>
  <c r="J154" i="6"/>
  <c r="H580" i="1"/>
  <c r="J580" i="1" s="1"/>
  <c r="L580" i="1"/>
  <c r="O155" i="6"/>
  <c r="J155" i="6"/>
  <c r="O503" i="1"/>
  <c r="O566" i="1"/>
  <c r="O475" i="1"/>
  <c r="O549" i="1"/>
  <c r="O460" i="1"/>
  <c r="O512" i="1"/>
  <c r="O575" i="1"/>
  <c r="O518" i="1"/>
  <c r="O557" i="1"/>
  <c r="O571" i="1"/>
  <c r="O492" i="1"/>
  <c r="O480" i="1"/>
  <c r="O546" i="1"/>
  <c r="O467" i="1"/>
  <c r="O530" i="1"/>
  <c r="O452" i="1"/>
  <c r="O505" i="1"/>
  <c r="O564" i="1"/>
  <c r="O496" i="1"/>
  <c r="O579" i="1"/>
  <c r="O456" i="1"/>
  <c r="O572" i="1"/>
  <c r="O489" i="1"/>
  <c r="O548" i="1"/>
  <c r="O468" i="1"/>
  <c r="O533" i="1"/>
  <c r="O454" i="1"/>
  <c r="O507" i="1"/>
  <c r="O568" i="1"/>
  <c r="O498" i="1"/>
  <c r="O541" i="1"/>
  <c r="O470" i="1"/>
  <c r="O516" i="1"/>
  <c r="O453" i="1"/>
  <c r="O504" i="1"/>
  <c r="O521" i="1"/>
  <c r="O465" i="1"/>
  <c r="O519" i="1"/>
  <c r="O488" i="1"/>
  <c r="O500" i="1"/>
  <c r="O473" i="1"/>
  <c r="O535" i="1"/>
  <c r="O560" i="1"/>
  <c r="O555" i="1"/>
  <c r="O522" i="1"/>
  <c r="O457" i="1"/>
  <c r="O511" i="1"/>
  <c r="O581" i="1"/>
  <c r="O491" i="1"/>
  <c r="O563" i="1"/>
  <c r="O472" i="1"/>
  <c r="O531" i="1"/>
  <c r="O553" i="1"/>
  <c r="O582" i="1"/>
  <c r="O578" i="1"/>
  <c r="O481" i="1"/>
  <c r="O450" i="1"/>
  <c r="O506" i="1"/>
  <c r="O569" i="1"/>
  <c r="O484" i="1"/>
  <c r="O551" i="1"/>
  <c r="O462" i="1"/>
  <c r="O514" i="1"/>
  <c r="O577" i="1"/>
  <c r="O543" i="1"/>
  <c r="O474" i="1"/>
  <c r="O501" i="1"/>
  <c r="O451" i="1"/>
  <c r="O508" i="1"/>
  <c r="O573" i="1"/>
  <c r="O486" i="1"/>
  <c r="O554" i="1"/>
  <c r="O464" i="1"/>
  <c r="O524" i="1"/>
  <c r="O527" i="1"/>
  <c r="O556" i="1"/>
  <c r="O532" i="1"/>
  <c r="O510" i="1"/>
  <c r="O544" i="1"/>
  <c r="O580" i="1"/>
  <c r="O494" i="1"/>
  <c r="O570" i="1"/>
  <c r="O528" i="1"/>
  <c r="O545" i="1"/>
  <c r="O485" i="1"/>
  <c r="O466" i="1"/>
  <c r="O565" i="1"/>
  <c r="O499" i="1"/>
  <c r="O487" i="1"/>
  <c r="O538" i="1"/>
  <c r="O463" i="1"/>
  <c r="O525" i="1"/>
  <c r="O540" i="1"/>
  <c r="O517" i="1"/>
  <c r="O534" i="1"/>
  <c r="O482" i="1"/>
  <c r="O550" i="1"/>
  <c r="O483" i="1"/>
  <c r="O461" i="1"/>
  <c r="O497" i="1"/>
  <c r="O526" i="1"/>
  <c r="O458" i="1"/>
  <c r="O513" i="1"/>
  <c r="O583" i="1"/>
  <c r="O493" i="1"/>
  <c r="O567" i="1"/>
  <c r="O477" i="1"/>
  <c r="O537" i="1"/>
  <c r="O469" i="1"/>
  <c r="O455" i="1"/>
  <c r="O523" i="1"/>
  <c r="O542" i="1"/>
  <c r="O459" i="1"/>
  <c r="O515" i="1"/>
  <c r="O574" i="1"/>
  <c r="O495" i="1"/>
  <c r="O576" i="1"/>
  <c r="O479" i="1"/>
  <c r="O539" i="1"/>
  <c r="O471" i="1"/>
  <c r="O476" i="1"/>
  <c r="O490" i="1"/>
  <c r="O559" i="1"/>
  <c r="O478" i="1"/>
  <c r="O529" i="1"/>
  <c r="O561" i="1"/>
  <c r="O536" i="1"/>
  <c r="O547" i="1"/>
  <c r="O552" i="1"/>
  <c r="O558" i="1"/>
  <c r="O520" i="1"/>
  <c r="O509" i="1"/>
  <c r="O156" i="6" l="1"/>
  <c r="J156" i="6"/>
  <c r="O157" i="6"/>
  <c r="J157" i="6"/>
  <c r="O158" i="6"/>
  <c r="J158" i="6"/>
  <c r="O159" i="6"/>
  <c r="J159" i="6"/>
  <c r="O160" i="6"/>
  <c r="J160" i="6"/>
  <c r="L590" i="1"/>
  <c r="H590" i="1"/>
  <c r="J590" i="1" s="1"/>
  <c r="O585" i="1"/>
  <c r="O592" i="1"/>
  <c r="O589" i="1"/>
  <c r="O591" i="1"/>
  <c r="O586" i="1"/>
  <c r="O587" i="1"/>
  <c r="O588" i="1"/>
  <c r="O590" i="1"/>
  <c r="O584" i="1"/>
  <c r="H594" i="1" l="1"/>
  <c r="J594" i="1" s="1"/>
  <c r="H595" i="1"/>
  <c r="J595" i="1" s="1"/>
  <c r="O27" i="7"/>
  <c r="J27" i="7"/>
  <c r="H161" i="6"/>
  <c r="J161" i="6" s="1"/>
  <c r="O161" i="6"/>
  <c r="H162" i="6"/>
  <c r="J162" i="6" s="1"/>
  <c r="O162" i="6"/>
  <c r="H597" i="1"/>
  <c r="J597" i="1" s="1"/>
  <c r="H600" i="1"/>
  <c r="J600" i="1" s="1"/>
  <c r="O163" i="6"/>
  <c r="J163" i="6"/>
  <c r="H606" i="1"/>
  <c r="J606" i="1" s="1"/>
  <c r="H607" i="1"/>
  <c r="J607" i="1" s="1"/>
  <c r="O164" i="6"/>
  <c r="J164" i="6"/>
  <c r="O165" i="6"/>
  <c r="J165" i="6"/>
  <c r="O166" i="6"/>
  <c r="J166" i="6"/>
  <c r="O167" i="6"/>
  <c r="J167" i="6"/>
  <c r="H168" i="6"/>
  <c r="J168" i="6" s="1"/>
  <c r="O168" i="6"/>
  <c r="L168" i="6"/>
  <c r="L169" i="6"/>
  <c r="H169" i="6"/>
  <c r="J169" i="6" s="1"/>
  <c r="O169" i="6"/>
  <c r="O170" i="6"/>
  <c r="J170" i="6"/>
  <c r="O171" i="6"/>
  <c r="J171" i="6"/>
  <c r="H618" i="1"/>
  <c r="O28" i="7"/>
  <c r="J28" i="7"/>
  <c r="H622" i="1"/>
  <c r="J622" i="1" s="1"/>
  <c r="O172" i="6"/>
  <c r="J172" i="6"/>
  <c r="O173" i="6"/>
  <c r="J173" i="6"/>
  <c r="O29" i="7"/>
  <c r="J29" i="7"/>
  <c r="H634" i="1"/>
  <c r="J634" i="1" s="1"/>
  <c r="O174" i="6"/>
  <c r="J174" i="6"/>
  <c r="L175" i="6"/>
  <c r="H175" i="6"/>
  <c r="J175" i="6" s="1"/>
  <c r="O175" i="6"/>
  <c r="O30" i="7"/>
  <c r="J30" i="7"/>
  <c r="O176" i="6"/>
  <c r="J176" i="6"/>
  <c r="O177" i="6"/>
  <c r="J177" i="6"/>
  <c r="H648" i="1"/>
  <c r="J648" i="1" s="1"/>
  <c r="O178" i="6"/>
  <c r="J178" i="6"/>
  <c r="O179" i="6"/>
  <c r="J179" i="6"/>
  <c r="H188" i="6"/>
  <c r="J188" i="6" s="1"/>
  <c r="O180" i="6"/>
  <c r="J180" i="6"/>
  <c r="O181" i="6"/>
  <c r="J181" i="6"/>
  <c r="O31" i="7"/>
  <c r="J31" i="7"/>
  <c r="A657" i="1"/>
  <c r="A656" i="1" s="1"/>
  <c r="A655" i="1" s="1"/>
  <c r="A654" i="1" s="1"/>
  <c r="A653" i="1" s="1"/>
  <c r="A652" i="1" s="1"/>
  <c r="A651" i="1" s="1"/>
  <c r="A650" i="1" s="1"/>
  <c r="A649" i="1" s="1"/>
  <c r="A648" i="1" s="1"/>
  <c r="A647" i="1" s="1"/>
  <c r="A646" i="1" s="1"/>
  <c r="A645" i="1" s="1"/>
  <c r="A644" i="1" s="1"/>
  <c r="A643" i="1" s="1"/>
  <c r="A642" i="1" s="1"/>
  <c r="A641" i="1" s="1"/>
  <c r="A640" i="1" s="1"/>
  <c r="A639" i="1" s="1"/>
  <c r="A638" i="1" s="1"/>
  <c r="A637" i="1" s="1"/>
  <c r="A636" i="1" s="1"/>
  <c r="A635" i="1" s="1"/>
  <c r="A634" i="1" s="1"/>
  <c r="A633" i="1" s="1"/>
  <c r="A632" i="1" s="1"/>
  <c r="A631" i="1" s="1"/>
  <c r="A630" i="1" s="1"/>
  <c r="A629" i="1" s="1"/>
  <c r="A628" i="1" s="1"/>
  <c r="A627" i="1" s="1"/>
  <c r="A626" i="1" s="1"/>
  <c r="A625" i="1" s="1"/>
  <c r="A624" i="1" s="1"/>
  <c r="A623" i="1" s="1"/>
  <c r="A622" i="1" s="1"/>
  <c r="A621" i="1" s="1"/>
  <c r="A620" i="1" s="1"/>
  <c r="A619" i="1" s="1"/>
  <c r="A618" i="1" s="1"/>
  <c r="A617" i="1" s="1"/>
  <c r="A616" i="1" s="1"/>
  <c r="A615" i="1" s="1"/>
  <c r="A614" i="1" s="1"/>
  <c r="A613" i="1" s="1"/>
  <c r="A612" i="1" s="1"/>
  <c r="A611" i="1" s="1"/>
  <c r="A610" i="1" s="1"/>
  <c r="A609" i="1" s="1"/>
  <c r="A608" i="1" s="1"/>
  <c r="A607" i="1" s="1"/>
  <c r="A606" i="1" s="1"/>
  <c r="A605" i="1" s="1"/>
  <c r="A604" i="1" s="1"/>
  <c r="A603" i="1" s="1"/>
  <c r="A602" i="1" s="1"/>
  <c r="A601" i="1" s="1"/>
  <c r="A600" i="1" s="1"/>
  <c r="A599" i="1" s="1"/>
  <c r="A598" i="1" s="1"/>
  <c r="A597" i="1" s="1"/>
  <c r="A596" i="1" s="1"/>
  <c r="A595" i="1" s="1"/>
  <c r="A594" i="1" s="1"/>
  <c r="A593" i="1" s="1"/>
  <c r="A592" i="1" s="1"/>
  <c r="A591" i="1" s="1"/>
  <c r="A590" i="1" s="1"/>
  <c r="A589" i="1" s="1"/>
  <c r="A588" i="1" s="1"/>
  <c r="A587" i="1" s="1"/>
  <c r="A586" i="1" s="1"/>
  <c r="A585" i="1" s="1"/>
  <c r="A584" i="1" s="1"/>
  <c r="A583" i="1" s="1"/>
  <c r="A582" i="1" s="1"/>
  <c r="A581" i="1" s="1"/>
  <c r="A580" i="1" s="1"/>
  <c r="A579" i="1" s="1"/>
  <c r="A578" i="1" s="1"/>
  <c r="A577" i="1" s="1"/>
  <c r="A576" i="1" s="1"/>
  <c r="A575" i="1" s="1"/>
  <c r="A574" i="1" s="1"/>
  <c r="A573" i="1" s="1"/>
  <c r="A572" i="1" s="1"/>
  <c r="A571" i="1" s="1"/>
  <c r="A570" i="1" s="1"/>
  <c r="A569" i="1" s="1"/>
  <c r="A568" i="1" s="1"/>
  <c r="A567" i="1" s="1"/>
  <c r="A566" i="1" s="1"/>
  <c r="A565" i="1" s="1"/>
  <c r="A564" i="1" s="1"/>
  <c r="A563" i="1" s="1"/>
  <c r="A562" i="1" s="1"/>
  <c r="A561" i="1" s="1"/>
  <c r="A560" i="1" s="1"/>
  <c r="A559" i="1" s="1"/>
  <c r="A558" i="1" s="1"/>
  <c r="A557" i="1" s="1"/>
  <c r="A556" i="1" s="1"/>
  <c r="A555" i="1" s="1"/>
  <c r="A554" i="1" s="1"/>
  <c r="A553" i="1" s="1"/>
  <c r="A552" i="1" s="1"/>
  <c r="A551" i="1" s="1"/>
  <c r="A550" i="1" s="1"/>
  <c r="A549" i="1" s="1"/>
  <c r="A548" i="1" s="1"/>
  <c r="A547" i="1" s="1"/>
  <c r="A546" i="1" s="1"/>
  <c r="A545" i="1" s="1"/>
  <c r="A544" i="1" s="1"/>
  <c r="A543" i="1" s="1"/>
  <c r="A542" i="1" s="1"/>
  <c r="A541" i="1" s="1"/>
  <c r="A540" i="1" s="1"/>
  <c r="A539" i="1" s="1"/>
  <c r="A538" i="1" s="1"/>
  <c r="A537" i="1" s="1"/>
  <c r="A536" i="1" s="1"/>
  <c r="A535" i="1" s="1"/>
  <c r="A534" i="1" s="1"/>
  <c r="A533" i="1" s="1"/>
  <c r="A532" i="1" s="1"/>
  <c r="A531" i="1" s="1"/>
  <c r="A530" i="1" s="1"/>
  <c r="A529" i="1" s="1"/>
  <c r="A528" i="1" s="1"/>
  <c r="A527" i="1" s="1"/>
  <c r="A526" i="1" s="1"/>
  <c r="A525" i="1" s="1"/>
  <c r="A524" i="1" s="1"/>
  <c r="A523" i="1" s="1"/>
  <c r="A522" i="1" s="1"/>
  <c r="A521" i="1" s="1"/>
  <c r="A520" i="1" s="1"/>
  <c r="A519" i="1" s="1"/>
  <c r="A518" i="1" s="1"/>
  <c r="A517" i="1" s="1"/>
  <c r="A516" i="1" s="1"/>
  <c r="A515" i="1" s="1"/>
  <c r="A514" i="1" s="1"/>
  <c r="A513" i="1" s="1"/>
  <c r="A512" i="1" s="1"/>
  <c r="A511" i="1" s="1"/>
  <c r="A510" i="1" s="1"/>
  <c r="A509" i="1" s="1"/>
  <c r="A508" i="1" s="1"/>
  <c r="A507" i="1" s="1"/>
  <c r="A506" i="1" s="1"/>
  <c r="A505" i="1" s="1"/>
  <c r="A504" i="1" s="1"/>
  <c r="A503" i="1" s="1"/>
  <c r="A502" i="1" s="1"/>
  <c r="A501" i="1" s="1"/>
  <c r="A500" i="1" s="1"/>
  <c r="A499" i="1" s="1"/>
  <c r="A498" i="1" s="1"/>
  <c r="A497" i="1" s="1"/>
  <c r="A496" i="1" s="1"/>
  <c r="A495" i="1" s="1"/>
  <c r="A494" i="1" s="1"/>
  <c r="A493" i="1" s="1"/>
  <c r="A492" i="1" s="1"/>
  <c r="A491" i="1" s="1"/>
  <c r="A490" i="1" s="1"/>
  <c r="A489" i="1" s="1"/>
  <c r="A488" i="1" s="1"/>
  <c r="A487" i="1" s="1"/>
  <c r="A486" i="1" s="1"/>
  <c r="A485" i="1" s="1"/>
  <c r="A484" i="1" s="1"/>
  <c r="A483" i="1" s="1"/>
  <c r="A482" i="1" s="1"/>
  <c r="A481" i="1" s="1"/>
  <c r="A480" i="1" s="1"/>
  <c r="A479" i="1" s="1"/>
  <c r="A478" i="1" s="1"/>
  <c r="A477" i="1" s="1"/>
  <c r="A476" i="1" s="1"/>
  <c r="A475" i="1" s="1"/>
  <c r="A474" i="1" s="1"/>
  <c r="A473" i="1" s="1"/>
  <c r="A472" i="1" s="1"/>
  <c r="A471" i="1" s="1"/>
  <c r="A470" i="1" s="1"/>
  <c r="A469" i="1" s="1"/>
  <c r="A468" i="1" s="1"/>
  <c r="A467" i="1" s="1"/>
  <c r="A466" i="1" s="1"/>
  <c r="A465" i="1" s="1"/>
  <c r="A464" i="1" s="1"/>
  <c r="A463" i="1" s="1"/>
  <c r="A462" i="1" s="1"/>
  <c r="A461" i="1" s="1"/>
  <c r="A460" i="1" s="1"/>
  <c r="A459" i="1" s="1"/>
  <c r="A458" i="1" s="1"/>
  <c r="A457" i="1" s="1"/>
  <c r="A456" i="1" s="1"/>
  <c r="A455" i="1" s="1"/>
  <c r="A454" i="1" s="1"/>
  <c r="A453" i="1" s="1"/>
  <c r="A452" i="1" s="1"/>
  <c r="A451" i="1" s="1"/>
  <c r="A450" i="1" s="1"/>
  <c r="A449" i="1" s="1"/>
  <c r="A448" i="1" s="1"/>
  <c r="A447" i="1" s="1"/>
  <c r="A446" i="1" s="1"/>
  <c r="A445" i="1" s="1"/>
  <c r="A444" i="1" s="1"/>
  <c r="A443" i="1" s="1"/>
  <c r="A442" i="1" s="1"/>
  <c r="A441" i="1" s="1"/>
  <c r="A440" i="1" s="1"/>
  <c r="A439" i="1" s="1"/>
  <c r="A438" i="1" s="1"/>
  <c r="A437" i="1" s="1"/>
  <c r="A436" i="1" s="1"/>
  <c r="A435" i="1" s="1"/>
  <c r="A434" i="1" s="1"/>
  <c r="A433" i="1" s="1"/>
  <c r="A432" i="1" s="1"/>
  <c r="A431" i="1" s="1"/>
  <c r="A430" i="1" s="1"/>
  <c r="A429" i="1" s="1"/>
  <c r="A428" i="1" s="1"/>
  <c r="A427" i="1" s="1"/>
  <c r="A426" i="1" s="1"/>
  <c r="A425" i="1" s="1"/>
  <c r="A424" i="1" s="1"/>
  <c r="A423" i="1" s="1"/>
  <c r="A422" i="1" s="1"/>
  <c r="A421" i="1" s="1"/>
  <c r="A420" i="1" s="1"/>
  <c r="A419" i="1" s="1"/>
  <c r="A418" i="1" s="1"/>
  <c r="A417" i="1" s="1"/>
  <c r="A416" i="1" s="1"/>
  <c r="A415" i="1" s="1"/>
  <c r="A414" i="1" s="1"/>
  <c r="A413" i="1" s="1"/>
  <c r="A412" i="1" s="1"/>
  <c r="A411" i="1" s="1"/>
  <c r="A410" i="1" s="1"/>
  <c r="A409" i="1" s="1"/>
  <c r="A408" i="1" s="1"/>
  <c r="A407" i="1" s="1"/>
  <c r="A406" i="1" s="1"/>
  <c r="A405" i="1" s="1"/>
  <c r="A404" i="1" s="1"/>
  <c r="A403" i="1" s="1"/>
  <c r="A402" i="1" s="1"/>
  <c r="A401" i="1" s="1"/>
  <c r="A400" i="1" s="1"/>
  <c r="A399" i="1" s="1"/>
  <c r="A398" i="1" s="1"/>
  <c r="A397" i="1" s="1"/>
  <c r="A396" i="1" s="1"/>
  <c r="A395" i="1" s="1"/>
  <c r="A394" i="1" s="1"/>
  <c r="A393" i="1" s="1"/>
  <c r="A392" i="1" s="1"/>
  <c r="A391" i="1" s="1"/>
  <c r="A390" i="1" s="1"/>
  <c r="A389" i="1" s="1"/>
  <c r="A388" i="1" s="1"/>
  <c r="A387" i="1" s="1"/>
  <c r="A386" i="1" s="1"/>
  <c r="A385" i="1" s="1"/>
  <c r="A384" i="1" s="1"/>
  <c r="A383" i="1" s="1"/>
  <c r="A382" i="1" s="1"/>
  <c r="A381" i="1" s="1"/>
  <c r="A380" i="1" s="1"/>
  <c r="A379" i="1" s="1"/>
  <c r="A378" i="1" s="1"/>
  <c r="A377" i="1" s="1"/>
  <c r="A376" i="1" s="1"/>
  <c r="A375" i="1" s="1"/>
  <c r="A374" i="1" s="1"/>
  <c r="A373" i="1" s="1"/>
  <c r="A372" i="1" s="1"/>
  <c r="A371" i="1" s="1"/>
  <c r="A370" i="1" s="1"/>
  <c r="A369" i="1" s="1"/>
  <c r="A368" i="1" s="1"/>
  <c r="A367" i="1" s="1"/>
  <c r="A366" i="1" s="1"/>
  <c r="A365" i="1" s="1"/>
  <c r="A364" i="1" s="1"/>
  <c r="A363" i="1" s="1"/>
  <c r="A362" i="1" s="1"/>
  <c r="A361" i="1" s="1"/>
  <c r="A360" i="1" s="1"/>
  <c r="A359" i="1" s="1"/>
  <c r="A358" i="1" s="1"/>
  <c r="A357" i="1" s="1"/>
  <c r="A356" i="1" s="1"/>
  <c r="A355" i="1" s="1"/>
  <c r="A354" i="1" s="1"/>
  <c r="A353" i="1" s="1"/>
  <c r="A352" i="1" s="1"/>
  <c r="A351" i="1" s="1"/>
  <c r="A350" i="1" s="1"/>
  <c r="A349" i="1" s="1"/>
  <c r="A348" i="1" s="1"/>
  <c r="A347" i="1" s="1"/>
  <c r="A346" i="1" s="1"/>
  <c r="A345" i="1" s="1"/>
  <c r="A344" i="1" s="1"/>
  <c r="A343" i="1" s="1"/>
  <c r="A342" i="1" s="1"/>
  <c r="A341" i="1" s="1"/>
  <c r="A340" i="1" s="1"/>
  <c r="A339" i="1" s="1"/>
  <c r="A338" i="1" s="1"/>
  <c r="A337" i="1" s="1"/>
  <c r="A336" i="1" s="1"/>
  <c r="A335" i="1" s="1"/>
  <c r="A334" i="1" s="1"/>
  <c r="A333" i="1" s="1"/>
  <c r="A332" i="1" s="1"/>
  <c r="A331" i="1" s="1"/>
  <c r="A330" i="1" s="1"/>
  <c r="A329" i="1" s="1"/>
  <c r="A328" i="1" s="1"/>
  <c r="A327" i="1" s="1"/>
  <c r="A326" i="1" s="1"/>
  <c r="A325" i="1" s="1"/>
  <c r="A324" i="1" s="1"/>
  <c r="A323" i="1" s="1"/>
  <c r="A322" i="1" s="1"/>
  <c r="A321" i="1" s="1"/>
  <c r="A320" i="1" s="1"/>
  <c r="A319" i="1" s="1"/>
  <c r="A318" i="1" s="1"/>
  <c r="A317" i="1" s="1"/>
  <c r="A316" i="1" s="1"/>
  <c r="A315" i="1" s="1"/>
  <c r="A314" i="1" s="1"/>
  <c r="A313" i="1" s="1"/>
  <c r="A312" i="1" s="1"/>
  <c r="A311" i="1" s="1"/>
  <c r="A310" i="1" s="1"/>
  <c r="A309" i="1" s="1"/>
  <c r="A308" i="1" s="1"/>
  <c r="A307" i="1" s="1"/>
  <c r="A306" i="1" s="1"/>
  <c r="A305" i="1" s="1"/>
  <c r="A304" i="1" s="1"/>
  <c r="A303" i="1" s="1"/>
  <c r="A302" i="1" s="1"/>
  <c r="A301" i="1" s="1"/>
  <c r="A300" i="1" s="1"/>
  <c r="A299" i="1" s="1"/>
  <c r="A298" i="1" s="1"/>
  <c r="A297" i="1" s="1"/>
  <c r="A296" i="1" s="1"/>
  <c r="A295" i="1" s="1"/>
  <c r="A294" i="1" s="1"/>
  <c r="A293" i="1" s="1"/>
  <c r="A292" i="1" s="1"/>
  <c r="A291" i="1" s="1"/>
  <c r="A290" i="1" s="1"/>
  <c r="A289" i="1" s="1"/>
  <c r="A288" i="1" s="1"/>
  <c r="A287" i="1" s="1"/>
  <c r="A286" i="1" s="1"/>
  <c r="A285" i="1" s="1"/>
  <c r="A284" i="1" s="1"/>
  <c r="A283" i="1" s="1"/>
  <c r="A282" i="1" s="1"/>
  <c r="A281" i="1" s="1"/>
  <c r="A280" i="1" s="1"/>
  <c r="A279" i="1" s="1"/>
  <c r="A278" i="1" s="1"/>
  <c r="A277" i="1" s="1"/>
  <c r="A276" i="1" s="1"/>
  <c r="A275" i="1" s="1"/>
  <c r="A274" i="1" s="1"/>
  <c r="A273" i="1" s="1"/>
  <c r="A272" i="1" s="1"/>
  <c r="A271" i="1" s="1"/>
  <c r="A270" i="1" s="1"/>
  <c r="A269" i="1" s="1"/>
  <c r="A268" i="1" s="1"/>
  <c r="A267" i="1" s="1"/>
  <c r="A266" i="1" s="1"/>
  <c r="A265" i="1" s="1"/>
  <c r="A264" i="1" s="1"/>
  <c r="A263" i="1" s="1"/>
  <c r="A262" i="1" s="1"/>
  <c r="A261" i="1" s="1"/>
  <c r="A260" i="1" s="1"/>
  <c r="A259" i="1" s="1"/>
  <c r="A258" i="1" s="1"/>
  <c r="A257" i="1" s="1"/>
  <c r="A256" i="1" s="1"/>
  <c r="A255" i="1" s="1"/>
  <c r="A254" i="1" s="1"/>
  <c r="A253" i="1" s="1"/>
  <c r="A252" i="1" s="1"/>
  <c r="A251" i="1" s="1"/>
  <c r="A250" i="1" s="1"/>
  <c r="A249" i="1" s="1"/>
  <c r="A248" i="1" s="1"/>
  <c r="A247" i="1" s="1"/>
  <c r="A246" i="1" s="1"/>
  <c r="A245" i="1" s="1"/>
  <c r="A244" i="1" s="1"/>
  <c r="A243" i="1" s="1"/>
  <c r="A242" i="1" s="1"/>
  <c r="A241" i="1" s="1"/>
  <c r="A240" i="1" s="1"/>
  <c r="A239" i="1" s="1"/>
  <c r="A238" i="1" s="1"/>
  <c r="A237" i="1" s="1"/>
  <c r="A236" i="1" s="1"/>
  <c r="A235" i="1" s="1"/>
  <c r="A234" i="1" s="1"/>
  <c r="A233" i="1" s="1"/>
  <c r="A232" i="1" s="1"/>
  <c r="A231" i="1" s="1"/>
  <c r="A230" i="1" s="1"/>
  <c r="A229" i="1" s="1"/>
  <c r="A228" i="1" s="1"/>
  <c r="A227" i="1" s="1"/>
  <c r="A226" i="1" s="1"/>
  <c r="A225" i="1" s="1"/>
  <c r="A224" i="1" s="1"/>
  <c r="A223" i="1" s="1"/>
  <c r="A222" i="1" s="1"/>
  <c r="A221" i="1" s="1"/>
  <c r="A220" i="1" s="1"/>
  <c r="A219" i="1" s="1"/>
  <c r="A218" i="1" s="1"/>
  <c r="A217" i="1" s="1"/>
  <c r="A216" i="1" s="1"/>
  <c r="A215" i="1" s="1"/>
  <c r="A214" i="1" s="1"/>
  <c r="A213" i="1" s="1"/>
  <c r="A212" i="1" s="1"/>
  <c r="A211" i="1" s="1"/>
  <c r="A210" i="1" s="1"/>
  <c r="A209" i="1" s="1"/>
  <c r="A208" i="1" s="1"/>
  <c r="A207" i="1" s="1"/>
  <c r="A206" i="1" s="1"/>
  <c r="A205" i="1" s="1"/>
  <c r="A204" i="1" s="1"/>
  <c r="A203" i="1" s="1"/>
  <c r="A202" i="1" s="1"/>
  <c r="A201" i="1" s="1"/>
  <c r="A200" i="1" s="1"/>
  <c r="A199" i="1" s="1"/>
  <c r="A198" i="1" s="1"/>
  <c r="A197" i="1" s="1"/>
  <c r="A196" i="1" s="1"/>
  <c r="A195" i="1" s="1"/>
  <c r="A194" i="1" s="1"/>
  <c r="A193" i="1" s="1"/>
  <c r="A192" i="1" s="1"/>
  <c r="A191" i="1" s="1"/>
  <c r="A190" i="1" s="1"/>
  <c r="A189" i="1" s="1"/>
  <c r="A188" i="1" s="1"/>
  <c r="A187" i="1" s="1"/>
  <c r="A186" i="1" s="1"/>
  <c r="A185" i="1" s="1"/>
  <c r="A184" i="1" s="1"/>
  <c r="A183" i="1" s="1"/>
  <c r="A182" i="1" s="1"/>
  <c r="A181" i="1" s="1"/>
  <c r="A180" i="1" s="1"/>
  <c r="A179" i="1" s="1"/>
  <c r="A178" i="1" s="1"/>
  <c r="A177" i="1" s="1"/>
  <c r="A176" i="1" s="1"/>
  <c r="A175" i="1" s="1"/>
  <c r="A174" i="1" s="1"/>
  <c r="A173" i="1" s="1"/>
  <c r="A172" i="1" s="1"/>
  <c r="A171" i="1" s="1"/>
  <c r="A170" i="1" s="1"/>
  <c r="A169" i="1" s="1"/>
  <c r="A168" i="1" s="1"/>
  <c r="A167" i="1" s="1"/>
  <c r="A166" i="1" s="1"/>
  <c r="A165" i="1" s="1"/>
  <c r="A164" i="1" s="1"/>
  <c r="A163" i="1" s="1"/>
  <c r="A162" i="1" s="1"/>
  <c r="A161" i="1" s="1"/>
  <c r="A160" i="1" s="1"/>
  <c r="A159" i="1" s="1"/>
  <c r="A158" i="1" s="1"/>
  <c r="A157" i="1" s="1"/>
  <c r="A156" i="1" s="1"/>
  <c r="A155" i="1" s="1"/>
  <c r="A154" i="1" s="1"/>
  <c r="A153" i="1" s="1"/>
  <c r="A152" i="1" s="1"/>
  <c r="A151" i="1" s="1"/>
  <c r="A150" i="1" s="1"/>
  <c r="A149" i="1" s="1"/>
  <c r="A148" i="1" s="1"/>
  <c r="A147" i="1" s="1"/>
  <c r="A146" i="1" s="1"/>
  <c r="A145" i="1" s="1"/>
  <c r="A144" i="1" s="1"/>
  <c r="A143" i="1" s="1"/>
  <c r="A142" i="1" s="1"/>
  <c r="A141" i="1" s="1"/>
  <c r="A140" i="1" s="1"/>
  <c r="A139" i="1" s="1"/>
  <c r="A138" i="1" s="1"/>
  <c r="A137" i="1" s="1"/>
  <c r="A136" i="1" s="1"/>
  <c r="A135" i="1" s="1"/>
  <c r="A134" i="1" s="1"/>
  <c r="A133" i="1" s="1"/>
  <c r="A132" i="1" s="1"/>
  <c r="A131" i="1" s="1"/>
  <c r="A130" i="1" s="1"/>
  <c r="A129" i="1" s="1"/>
  <c r="A128" i="1" s="1"/>
  <c r="A127" i="1" s="1"/>
  <c r="A126" i="1" s="1"/>
  <c r="A125" i="1" s="1"/>
  <c r="A124" i="1" s="1"/>
  <c r="A123" i="1" s="1"/>
  <c r="A122" i="1" s="1"/>
  <c r="A121" i="1" s="1"/>
  <c r="A120" i="1" s="1"/>
  <c r="A119" i="1" s="1"/>
  <c r="A118" i="1" s="1"/>
  <c r="A117" i="1" s="1"/>
  <c r="A116" i="1" s="1"/>
  <c r="A115" i="1" s="1"/>
  <c r="A114" i="1" s="1"/>
  <c r="A113" i="1" s="1"/>
  <c r="A112" i="1" s="1"/>
  <c r="A111" i="1" s="1"/>
  <c r="A110" i="1" s="1"/>
  <c r="A109" i="1" s="1"/>
  <c r="A108" i="1" s="1"/>
  <c r="A107" i="1" s="1"/>
  <c r="A106" i="1" s="1"/>
  <c r="A105" i="1" s="1"/>
  <c r="A104" i="1" s="1"/>
  <c r="A103" i="1" s="1"/>
  <c r="A102" i="1" s="1"/>
  <c r="A101" i="1" s="1"/>
  <c r="A100" i="1" s="1"/>
  <c r="A99" i="1" s="1"/>
  <c r="A98" i="1" s="1"/>
  <c r="A97" i="1" s="1"/>
  <c r="A96" i="1" s="1"/>
  <c r="A95" i="1" s="1"/>
  <c r="A94" i="1" s="1"/>
  <c r="A93" i="1" s="1"/>
  <c r="A92" i="1" s="1"/>
  <c r="A91" i="1" s="1"/>
  <c r="A90" i="1" s="1"/>
  <c r="A89" i="1" s="1"/>
  <c r="A88" i="1" s="1"/>
  <c r="A87" i="1" s="1"/>
  <c r="A86" i="1" s="1"/>
  <c r="A85" i="1" s="1"/>
  <c r="A84" i="1" s="1"/>
  <c r="A83" i="1" s="1"/>
  <c r="A82" i="1" s="1"/>
  <c r="A81" i="1" s="1"/>
  <c r="A80" i="1" s="1"/>
  <c r="A79" i="1" s="1"/>
  <c r="A78" i="1" s="1"/>
  <c r="A77" i="1" s="1"/>
  <c r="A76" i="1" s="1"/>
  <c r="A75" i="1" s="1"/>
  <c r="A74" i="1" s="1"/>
  <c r="A73" i="1" s="1"/>
  <c r="A72" i="1" s="1"/>
  <c r="A71" i="1" s="1"/>
  <c r="A70" i="1" s="1"/>
  <c r="A69" i="1" s="1"/>
  <c r="A68" i="1" s="1"/>
  <c r="A67" i="1" s="1"/>
  <c r="A66" i="1" s="1"/>
  <c r="A65" i="1" s="1"/>
  <c r="A64" i="1" s="1"/>
  <c r="A63" i="1" s="1"/>
  <c r="A62" i="1" s="1"/>
  <c r="A61" i="1" s="1"/>
  <c r="A60" i="1" s="1"/>
  <c r="A59" i="1" s="1"/>
  <c r="A58" i="1" s="1"/>
  <c r="A57" i="1" s="1"/>
  <c r="A56" i="1" s="1"/>
  <c r="A55" i="1" s="1"/>
  <c r="A54" i="1" s="1"/>
  <c r="A53" i="1" s="1"/>
  <c r="A52" i="1" s="1"/>
  <c r="A51" i="1" s="1"/>
  <c r="A50" i="1" s="1"/>
  <c r="A49" i="1" s="1"/>
  <c r="A48" i="1" s="1"/>
  <c r="A47" i="1" s="1"/>
  <c r="A46" i="1" s="1"/>
  <c r="A45" i="1" s="1"/>
  <c r="A44" i="1" s="1"/>
  <c r="A43" i="1" s="1"/>
  <c r="A42" i="1" s="1"/>
  <c r="A41" i="1" s="1"/>
  <c r="A40" i="1" s="1"/>
  <c r="A39" i="1" s="1"/>
  <c r="A38" i="1" s="1"/>
  <c r="A37" i="1" s="1"/>
  <c r="A36" i="1" s="1"/>
  <c r="A35" i="1" s="1"/>
  <c r="A34" i="1" s="1"/>
  <c r="A33" i="1" s="1"/>
  <c r="A32" i="1" s="1"/>
  <c r="A31" i="1" s="1"/>
  <c r="A30" i="1" s="1"/>
  <c r="A29" i="1" s="1"/>
  <c r="A28" i="1" s="1"/>
  <c r="A27" i="1" s="1"/>
  <c r="A26" i="1" s="1"/>
  <c r="A25" i="1" s="1"/>
  <c r="A24" i="1" s="1"/>
  <c r="A23" i="1" s="1"/>
  <c r="A22" i="1" s="1"/>
  <c r="A21" i="1" s="1"/>
  <c r="A20" i="1" s="1"/>
  <c r="A19" i="1" s="1"/>
  <c r="A18" i="1" s="1"/>
  <c r="A17" i="1" s="1"/>
  <c r="A16" i="1" s="1"/>
  <c r="A15" i="1" s="1"/>
  <c r="A14" i="1" s="1"/>
  <c r="A13" i="1" s="1"/>
  <c r="A12" i="1" s="1"/>
  <c r="A11" i="1" s="1"/>
  <c r="A10" i="1" s="1"/>
  <c r="A9" i="1" s="1"/>
  <c r="A8" i="1" s="1"/>
  <c r="A7" i="1" s="1"/>
  <c r="A6" i="1" s="1"/>
  <c r="A5" i="1" s="1"/>
  <c r="A4" i="1" s="1"/>
  <c r="A3" i="1" s="1"/>
  <c r="A2" i="1" s="1"/>
  <c r="L182" i="6"/>
  <c r="H182" i="6"/>
  <c r="J182" i="6" s="1"/>
  <c r="O182" i="6"/>
  <c r="O32" i="7"/>
  <c r="J32" i="7"/>
  <c r="O33" i="7"/>
  <c r="J33" i="7"/>
  <c r="O183" i="6"/>
  <c r="J183" i="6"/>
  <c r="O184" i="6"/>
  <c r="J184" i="6"/>
  <c r="H185" i="6"/>
  <c r="J185" i="6" s="1"/>
  <c r="O185" i="6"/>
  <c r="L665" i="1"/>
  <c r="H665" i="1"/>
  <c r="J665" i="1" s="1"/>
  <c r="O186" i="6"/>
  <c r="J186" i="6"/>
  <c r="H667" i="1"/>
  <c r="J667" i="1" s="1"/>
  <c r="L667" i="1"/>
  <c r="H668" i="1"/>
  <c r="J668" i="1" s="1"/>
  <c r="L668" i="1"/>
  <c r="L669" i="1"/>
  <c r="H669" i="1"/>
  <c r="J669" i="1" s="1"/>
  <c r="H670" i="1"/>
  <c r="J670" i="1" s="1"/>
  <c r="O187" i="6"/>
  <c r="J187" i="6"/>
  <c r="O188" i="6"/>
  <c r="A189" i="6"/>
  <c r="A188" i="6" s="1"/>
  <c r="A187" i="6" s="1"/>
  <c r="A186" i="6" s="1"/>
  <c r="A185" i="6" s="1"/>
  <c r="A184" i="6" s="1"/>
  <c r="A183" i="6" s="1"/>
  <c r="A182" i="6" s="1"/>
  <c r="A181" i="6" s="1"/>
  <c r="A180" i="6" s="1"/>
  <c r="A179" i="6" s="1"/>
  <c r="A178" i="6" s="1"/>
  <c r="A177" i="6" s="1"/>
  <c r="A176" i="6" s="1"/>
  <c r="A175" i="6" s="1"/>
  <c r="A174" i="6" s="1"/>
  <c r="A173" i="6" s="1"/>
  <c r="A172" i="6" s="1"/>
  <c r="A171" i="6" s="1"/>
  <c r="A170" i="6" s="1"/>
  <c r="A169" i="6" s="1"/>
  <c r="A168" i="6" s="1"/>
  <c r="A167" i="6" s="1"/>
  <c r="A166" i="6" s="1"/>
  <c r="A165" i="6" s="1"/>
  <c r="A164" i="6" s="1"/>
  <c r="A163" i="6" s="1"/>
  <c r="A162" i="6" s="1"/>
  <c r="A161" i="6" s="1"/>
  <c r="A160" i="6" s="1"/>
  <c r="A159" i="6" s="1"/>
  <c r="A158" i="6" s="1"/>
  <c r="A157" i="6" s="1"/>
  <c r="A156" i="6" s="1"/>
  <c r="A155" i="6" s="1"/>
  <c r="A154" i="6" s="1"/>
  <c r="A153" i="6" s="1"/>
  <c r="A152" i="6" s="1"/>
  <c r="A151" i="6" s="1"/>
  <c r="A150" i="6" s="1"/>
  <c r="A149" i="6" s="1"/>
  <c r="A148" i="6" s="1"/>
  <c r="A147" i="6" s="1"/>
  <c r="A146" i="6" s="1"/>
  <c r="A145" i="6" s="1"/>
  <c r="A144" i="6" s="1"/>
  <c r="A143" i="6" s="1"/>
  <c r="A142" i="6" s="1"/>
  <c r="A141" i="6" s="1"/>
  <c r="A140" i="6" s="1"/>
  <c r="A139" i="6" s="1"/>
  <c r="A138" i="6" s="1"/>
  <c r="A137" i="6" s="1"/>
  <c r="A136" i="6" s="1"/>
  <c r="A135" i="6" s="1"/>
  <c r="A134" i="6" s="1"/>
  <c r="A133" i="6" s="1"/>
  <c r="A132" i="6" s="1"/>
  <c r="A131" i="6" s="1"/>
  <c r="A130" i="6" s="1"/>
  <c r="A129" i="6" s="1"/>
  <c r="A128" i="6" s="1"/>
  <c r="A127" i="6" s="1"/>
  <c r="A126" i="6" s="1"/>
  <c r="A125" i="6" s="1"/>
  <c r="A124" i="6" s="1"/>
  <c r="A123" i="6" s="1"/>
  <c r="A122" i="6" s="1"/>
  <c r="A121" i="6" s="1"/>
  <c r="A120" i="6" s="1"/>
  <c r="A119" i="6" s="1"/>
  <c r="A118" i="6" s="1"/>
  <c r="A117" i="6" s="1"/>
  <c r="A116" i="6" s="1"/>
  <c r="A115" i="6" s="1"/>
  <c r="A114" i="6" s="1"/>
  <c r="A113" i="6" s="1"/>
  <c r="A112" i="6" s="1"/>
  <c r="A111" i="6" s="1"/>
  <c r="A110" i="6" s="1"/>
  <c r="A109" i="6" s="1"/>
  <c r="A108" i="6" s="1"/>
  <c r="A107" i="6" s="1"/>
  <c r="A106" i="6" s="1"/>
  <c r="A105" i="6" s="1"/>
  <c r="A104" i="6" s="1"/>
  <c r="A103" i="6" s="1"/>
  <c r="A102" i="6" s="1"/>
  <c r="A101" i="6" s="1"/>
  <c r="A100" i="6" s="1"/>
  <c r="A99" i="6" s="1"/>
  <c r="A98" i="6" s="1"/>
  <c r="A97" i="6" s="1"/>
  <c r="A96" i="6" s="1"/>
  <c r="A95" i="6" s="1"/>
  <c r="A94" i="6" s="1"/>
  <c r="A93" i="6" s="1"/>
  <c r="A92" i="6" s="1"/>
  <c r="A91" i="6" s="1"/>
  <c r="A90" i="6" s="1"/>
  <c r="A89" i="6" s="1"/>
  <c r="A88" i="6" s="1"/>
  <c r="A87" i="6" s="1"/>
  <c r="A86" i="6" s="1"/>
  <c r="A85" i="6" s="1"/>
  <c r="A84" i="6" s="1"/>
  <c r="A83" i="6" s="1"/>
  <c r="A82" i="6" s="1"/>
  <c r="A81" i="6" s="1"/>
  <c r="A80" i="6" s="1"/>
  <c r="A79" i="6" s="1"/>
  <c r="A78" i="6" s="1"/>
  <c r="A77" i="6" s="1"/>
  <c r="A76" i="6" s="1"/>
  <c r="A75" i="6" s="1"/>
  <c r="A74" i="6" s="1"/>
  <c r="A73" i="6" s="1"/>
  <c r="A72" i="6" s="1"/>
  <c r="A71" i="6" s="1"/>
  <c r="A70" i="6" s="1"/>
  <c r="A69" i="6" s="1"/>
  <c r="A68" i="6" s="1"/>
  <c r="A67" i="6" s="1"/>
  <c r="A66" i="6" s="1"/>
  <c r="A65" i="6" s="1"/>
  <c r="A64" i="6" s="1"/>
  <c r="A63" i="6" s="1"/>
  <c r="A62" i="6" s="1"/>
  <c r="A61" i="6" s="1"/>
  <c r="A60" i="6" s="1"/>
  <c r="A59" i="6" s="1"/>
  <c r="A58" i="6" s="1"/>
  <c r="A57" i="6" s="1"/>
  <c r="A56" i="6" s="1"/>
  <c r="A55" i="6" s="1"/>
  <c r="A54" i="6" s="1"/>
  <c r="A53" i="6" s="1"/>
  <c r="A52" i="6" s="1"/>
  <c r="A51" i="6" s="1"/>
  <c r="A50" i="6" s="1"/>
  <c r="A49" i="6" s="1"/>
  <c r="A48" i="6" s="1"/>
  <c r="A47" i="6" s="1"/>
  <c r="A46" i="6" s="1"/>
  <c r="A45" i="6" s="1"/>
  <c r="A44" i="6" s="1"/>
  <c r="A43" i="6" s="1"/>
  <c r="A42" i="6" s="1"/>
  <c r="A41" i="6" s="1"/>
  <c r="A40" i="6" s="1"/>
  <c r="A39" i="6" s="1"/>
  <c r="A38" i="6" s="1"/>
  <c r="A37" i="6" s="1"/>
  <c r="A36" i="6" s="1"/>
  <c r="A35" i="6" s="1"/>
  <c r="A34" i="6" s="1"/>
  <c r="A33" i="6" s="1"/>
  <c r="A32" i="6" s="1"/>
  <c r="A31" i="6" s="1"/>
  <c r="A30" i="6" s="1"/>
  <c r="A29" i="6" s="1"/>
  <c r="A28" i="6" s="1"/>
  <c r="A27" i="6" s="1"/>
  <c r="A26" i="6" s="1"/>
  <c r="A25" i="6" s="1"/>
  <c r="A24" i="6" s="1"/>
  <c r="A23" i="6" s="1"/>
  <c r="A22" i="6" s="1"/>
  <c r="A21" i="6" s="1"/>
  <c r="A20" i="6" s="1"/>
  <c r="A19" i="6" s="1"/>
  <c r="A18" i="6" s="1"/>
  <c r="A17" i="6" s="1"/>
  <c r="A16" i="6" s="1"/>
  <c r="A15" i="6" s="1"/>
  <c r="A14" i="6" s="1"/>
  <c r="A13" i="6" s="1"/>
  <c r="A12" i="6" s="1"/>
  <c r="A11" i="6" s="1"/>
  <c r="A10" i="6" s="1"/>
  <c r="A9" i="6" s="1"/>
  <c r="A8" i="6" s="1"/>
  <c r="A7" i="6" s="1"/>
  <c r="A6" i="6" s="1"/>
  <c r="A5" i="6" s="1"/>
  <c r="A4" i="6" s="1"/>
  <c r="A3" i="6" s="1"/>
  <c r="A2" i="6" s="1"/>
  <c r="H189" i="6"/>
  <c r="J189" i="6" s="1"/>
  <c r="O189" i="6"/>
  <c r="A680" i="1"/>
  <c r="A679" i="1" s="1"/>
  <c r="A678" i="1" s="1"/>
  <c r="A677" i="1" s="1"/>
  <c r="A676" i="1" s="1"/>
  <c r="A675" i="1" s="1"/>
  <c r="A674" i="1" s="1"/>
  <c r="A673" i="1" s="1"/>
  <c r="A672" i="1" s="1"/>
  <c r="A671" i="1" s="1"/>
  <c r="A670" i="1" s="1"/>
  <c r="A669" i="1" s="1"/>
  <c r="A668" i="1" s="1"/>
  <c r="A667" i="1" s="1"/>
  <c r="A666" i="1" s="1"/>
  <c r="A665" i="1" s="1"/>
  <c r="A664" i="1" s="1"/>
  <c r="A663" i="1" s="1"/>
  <c r="A662" i="1" s="1"/>
  <c r="A661" i="1" s="1"/>
  <c r="A660" i="1" s="1"/>
  <c r="A659" i="1" s="1"/>
  <c r="O190" i="6"/>
  <c r="J190" i="6"/>
  <c r="O34" i="7"/>
  <c r="J34" i="7"/>
  <c r="L683" i="1"/>
  <c r="H683" i="1"/>
  <c r="J683" i="1" s="1"/>
  <c r="O191" i="6"/>
  <c r="J191" i="6"/>
  <c r="O192" i="6"/>
  <c r="J192" i="6"/>
  <c r="L193" i="6"/>
  <c r="H193" i="6"/>
  <c r="J193" i="6" s="1"/>
  <c r="O193" i="6"/>
  <c r="L684" i="1"/>
  <c r="H684" i="1"/>
  <c r="J684" i="1" s="1"/>
  <c r="H685" i="1"/>
  <c r="J685" i="1" s="1"/>
  <c r="L694" i="1"/>
  <c r="H694" i="1"/>
  <c r="J694" i="1" s="1"/>
  <c r="L695" i="1"/>
  <c r="H695" i="1"/>
  <c r="J695" i="1" s="1"/>
  <c r="L194" i="6"/>
  <c r="H194" i="6"/>
  <c r="J194" i="6" s="1"/>
  <c r="O194" i="6"/>
  <c r="O195" i="6"/>
  <c r="J195" i="6"/>
  <c r="O35" i="7"/>
  <c r="J35" i="7"/>
  <c r="O36" i="7"/>
  <c r="J36" i="7"/>
  <c r="O196" i="6"/>
  <c r="J196" i="6"/>
  <c r="O37" i="7"/>
  <c r="J37" i="7"/>
  <c r="O197" i="6"/>
  <c r="J197" i="6"/>
  <c r="L198" i="6"/>
  <c r="H198" i="6"/>
  <c r="J198" i="6" s="1"/>
  <c r="O198" i="6"/>
  <c r="O595" i="1"/>
  <c r="O603" i="1"/>
  <c r="O635" i="1"/>
  <c r="O661" i="1"/>
  <c r="O663" i="1"/>
  <c r="O652" i="1"/>
  <c r="O634" i="1"/>
  <c r="O594" i="1"/>
  <c r="O678" i="1"/>
  <c r="O684" i="1"/>
  <c r="O693" i="1"/>
  <c r="O616" i="1"/>
  <c r="O642" i="1"/>
  <c r="O690" i="1"/>
  <c r="O607" i="1"/>
  <c r="O633" i="1"/>
  <c r="O614" i="1"/>
  <c r="O683" i="1"/>
  <c r="O636" i="1"/>
  <c r="O660" i="1"/>
  <c r="O620" i="1"/>
  <c r="O599" i="1"/>
  <c r="O655" i="1"/>
  <c r="O696" i="1"/>
  <c r="O626" i="1"/>
  <c r="O596" i="1"/>
  <c r="O638" i="1"/>
  <c r="O670" i="1"/>
  <c r="O612" i="1"/>
  <c r="O658" i="1"/>
  <c r="O691" i="1"/>
  <c r="O619" i="1"/>
  <c r="O692" i="1"/>
  <c r="O654" i="1"/>
  <c r="O656" i="1"/>
  <c r="O671" i="1"/>
  <c r="O631" i="1"/>
  <c r="O606" i="1"/>
  <c r="O625" i="1"/>
  <c r="O597" i="1"/>
  <c r="O618" i="1"/>
  <c r="O677" i="1"/>
  <c r="O600" i="1"/>
  <c r="O644" i="1"/>
  <c r="O628" i="1"/>
  <c r="O624" i="1"/>
  <c r="O647" i="1"/>
  <c r="O685" i="1"/>
  <c r="O627" i="1"/>
  <c r="O605" i="1"/>
  <c r="O621" i="1"/>
  <c r="O681" i="1"/>
  <c r="O602" i="1"/>
  <c r="O667" i="1"/>
  <c r="O617" i="1"/>
  <c r="O639" i="1"/>
  <c r="O676" i="1"/>
  <c r="O689" i="1"/>
  <c r="O695" i="1"/>
  <c r="O679" i="1"/>
  <c r="O637" i="1"/>
  <c r="O643" i="1"/>
  <c r="O668" i="1"/>
  <c r="O601" i="1"/>
  <c r="O593" i="1"/>
  <c r="O604" i="1"/>
  <c r="O649" i="1"/>
  <c r="O640" i="1"/>
  <c r="O622" i="1"/>
  <c r="O666" i="1"/>
  <c r="O608" i="1"/>
  <c r="O650" i="1"/>
  <c r="O598" i="1"/>
  <c r="O646" i="1"/>
  <c r="O648" i="1"/>
  <c r="O651" i="1"/>
  <c r="O682" i="1"/>
  <c r="O623" i="1"/>
  <c r="O673" i="1"/>
  <c r="O694" i="1"/>
  <c r="O680" i="1"/>
  <c r="O610" i="1"/>
  <c r="O632" i="1"/>
  <c r="O669" i="1"/>
  <c r="O611" i="1"/>
  <c r="O653" i="1"/>
  <c r="O609" i="1"/>
  <c r="O613" i="1"/>
  <c r="O688" i="1"/>
  <c r="O686" i="1"/>
  <c r="O659" i="1"/>
  <c r="O645" i="1"/>
  <c r="O662" i="1"/>
  <c r="O657" i="1"/>
  <c r="O674" i="1"/>
  <c r="O629" i="1"/>
  <c r="O672" i="1"/>
  <c r="O664" i="1"/>
  <c r="O665" i="1"/>
  <c r="O641" i="1"/>
  <c r="O675" i="1"/>
  <c r="O687" i="1"/>
  <c r="O615" i="1"/>
  <c r="H697" i="1" l="1"/>
  <c r="J697" i="1" s="1"/>
  <c r="L697" i="1"/>
  <c r="L698" i="1"/>
  <c r="H698" i="1"/>
  <c r="J698" i="1" s="1"/>
  <c r="H703" i="1"/>
  <c r="J703" i="1" s="1"/>
  <c r="O199" i="6"/>
  <c r="J199" i="6"/>
  <c r="O200" i="6"/>
  <c r="J200" i="6"/>
  <c r="O201" i="6"/>
  <c r="J201" i="6"/>
  <c r="H713" i="1"/>
  <c r="J713" i="1" s="1"/>
  <c r="O202" i="6"/>
  <c r="J202" i="6"/>
  <c r="O203" i="6"/>
  <c r="J203" i="6"/>
  <c r="O204" i="6"/>
  <c r="J204" i="6"/>
  <c r="O38" i="7"/>
  <c r="J38" i="7"/>
  <c r="O205" i="6"/>
  <c r="J205" i="6"/>
  <c r="O206" i="6"/>
  <c r="J206" i="6"/>
  <c r="O207" i="6"/>
  <c r="J207" i="6"/>
  <c r="O208" i="6"/>
  <c r="J208" i="6"/>
  <c r="O209" i="6"/>
  <c r="J209" i="6"/>
  <c r="O210" i="6"/>
  <c r="J210" i="6"/>
  <c r="H719" i="1"/>
  <c r="J719" i="1" s="1"/>
  <c r="H720" i="1"/>
  <c r="J720" i="1" s="1"/>
  <c r="H721" i="1"/>
  <c r="J721" i="1" s="1"/>
  <c r="H722" i="1"/>
  <c r="J722" i="1" s="1"/>
  <c r="H723" i="1"/>
  <c r="J723" i="1" s="1"/>
  <c r="H211" i="6"/>
  <c r="J211" i="6" s="1"/>
  <c r="O211" i="6"/>
  <c r="H212" i="6"/>
  <c r="J212" i="6" s="1"/>
  <c r="O212" i="6"/>
  <c r="O213" i="6"/>
  <c r="J213" i="6"/>
  <c r="O214" i="6"/>
  <c r="J214" i="6"/>
  <c r="O215" i="6"/>
  <c r="J215" i="6"/>
  <c r="H732" i="1"/>
  <c r="J732" i="1" s="1"/>
  <c r="L734" i="1"/>
  <c r="H735" i="1"/>
  <c r="J735" i="1" s="1"/>
  <c r="L735" i="1"/>
  <c r="L736" i="1"/>
  <c r="H736" i="1"/>
  <c r="J736" i="1" s="1"/>
  <c r="L737" i="1"/>
  <c r="H737" i="1"/>
  <c r="J737" i="1" s="1"/>
  <c r="H744" i="1"/>
  <c r="J744" i="1" s="1"/>
  <c r="O726" i="1"/>
  <c r="O708" i="1"/>
  <c r="O703" i="1"/>
  <c r="O725" i="1"/>
  <c r="O738" i="1"/>
  <c r="O723" i="1"/>
  <c r="O737" i="1"/>
  <c r="O718" i="1"/>
  <c r="O740" i="1"/>
  <c r="O715" i="1"/>
  <c r="O712" i="1"/>
  <c r="O719" i="1"/>
  <c r="O736" i="1"/>
  <c r="O714" i="1"/>
  <c r="O745" i="1"/>
  <c r="O709" i="1"/>
  <c r="O697" i="1"/>
  <c r="O748" i="1"/>
  <c r="O749" i="1"/>
  <c r="O727" i="1"/>
  <c r="O721" i="1"/>
  <c r="O731" i="1"/>
  <c r="O716" i="1"/>
  <c r="O704" i="1"/>
  <c r="O728" i="1"/>
  <c r="O702" i="1"/>
  <c r="O701" i="1"/>
  <c r="O711" i="1"/>
  <c r="O710" i="1"/>
  <c r="O729" i="1"/>
  <c r="O717" i="1"/>
  <c r="O735" i="1"/>
  <c r="O713" i="1"/>
  <c r="O734" i="1"/>
  <c r="O743" i="1"/>
  <c r="O722" i="1"/>
  <c r="O733" i="1"/>
  <c r="O732" i="1"/>
  <c r="O744" i="1"/>
  <c r="O705" i="1"/>
  <c r="O730" i="1"/>
  <c r="O707" i="1"/>
  <c r="O699" i="1"/>
  <c r="O720" i="1"/>
  <c r="O706" i="1"/>
  <c r="O700" i="1"/>
  <c r="O741" i="1"/>
  <c r="O742" i="1"/>
  <c r="O746" i="1"/>
  <c r="O739" i="1"/>
  <c r="O698" i="1"/>
  <c r="O747" i="1"/>
  <c r="O724" i="1"/>
  <c r="O216" i="6" l="1"/>
  <c r="J216" i="6"/>
  <c r="L751" i="1"/>
  <c r="H751" i="1"/>
  <c r="J751" i="1" s="1"/>
  <c r="L752" i="1"/>
  <c r="H752" i="1"/>
  <c r="J752" i="1" s="1"/>
  <c r="O754" i="1"/>
  <c r="O752" i="1"/>
  <c r="O751" i="1"/>
  <c r="O750" i="1"/>
  <c r="O753" i="1"/>
  <c r="L756" i="1" l="1"/>
  <c r="H756" i="1"/>
  <c r="J756" i="1" s="1"/>
  <c r="H217" i="6"/>
  <c r="J217" i="6" s="1"/>
  <c r="O217" i="6"/>
  <c r="H218" i="6"/>
  <c r="J218" i="6" s="1"/>
  <c r="O218" i="6"/>
  <c r="O219" i="6"/>
  <c r="J219" i="6"/>
  <c r="O220" i="6"/>
  <c r="J220" i="6"/>
  <c r="O39" i="7"/>
  <c r="J39" i="7"/>
  <c r="J40" i="7"/>
  <c r="O40" i="7"/>
  <c r="H759" i="1"/>
  <c r="J759" i="1" s="1"/>
  <c r="H761" i="1"/>
  <c r="J761" i="1" s="1"/>
  <c r="L763" i="1"/>
  <c r="H763" i="1"/>
  <c r="J763" i="1" s="1"/>
  <c r="H764" i="1"/>
  <c r="J764" i="1" s="1"/>
  <c r="L764" i="1"/>
  <c r="L765" i="1"/>
  <c r="H765" i="1"/>
  <c r="J765" i="1" s="1"/>
  <c r="O221" i="6"/>
  <c r="J221" i="6"/>
  <c r="O765" i="1"/>
  <c r="O762" i="1"/>
  <c r="O755" i="1"/>
  <c r="O760" i="1"/>
  <c r="O759" i="1"/>
  <c r="O764" i="1"/>
  <c r="O758" i="1"/>
  <c r="O763" i="1"/>
  <c r="O766" i="1"/>
  <c r="O767" i="1"/>
  <c r="O757" i="1"/>
  <c r="O756" i="1"/>
  <c r="O761" i="1"/>
  <c r="O76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C19" authorId="0" shapeId="0" xr:uid="{5454E983-DCC1-4227-BBCA-051E616B079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need amd</t>
        </r>
      </text>
    </comment>
    <comment ref="C24" authorId="0" shapeId="0" xr:uid="{A58EBF9E-ED16-4F70-9846-9808EB60F55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need amd</t>
        </r>
      </text>
    </comment>
    <comment ref="I56" authorId="0" shapeId="0" xr:uid="{FEDFE8F8-07D3-40F3-9952-9327D18DD30B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NEED AMD COPY</t>
        </r>
      </text>
    </comment>
    <comment ref="C75" authorId="0" shapeId="0" xr:uid="{D03E5DCA-4718-4A61-A109-84C251377FDE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sz val="11"/>
            <color indexed="81"/>
            <rFont val="Arial"/>
            <family val="2"/>
          </rPr>
          <t>GOT AMD COPY</t>
        </r>
      </text>
    </comment>
    <comment ref="C80" authorId="0" shapeId="0" xr:uid="{8C98A6E0-FC37-40B7-9004-A368BCA4D667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&amp; got crr copy</t>
        </r>
      </text>
    </comment>
    <comment ref="C83" authorId="0" shapeId="0" xr:uid="{AD2D6770-F8C2-42FD-B702-86A05AFC72E6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1</t>
        </r>
      </text>
    </comment>
    <comment ref="C108" authorId="0" shapeId="0" xr:uid="{FCB48118-DDC7-431E-8191-F3BEA86051E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crr</t>
        </r>
      </text>
    </comment>
    <comment ref="C110" authorId="0" shapeId="0" xr:uid="{4EC5FD99-367B-4BEA-962C-6DF7F3294C4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1 &amp; 2</t>
        </r>
      </text>
    </comment>
    <comment ref="C111" authorId="0" shapeId="0" xr:uid="{B29EB0AD-60B5-4E57-946F-40A51AF9DDF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1 &amp; 2</t>
        </r>
      </text>
    </comment>
    <comment ref="C129" authorId="0" shapeId="0" xr:uid="{18654B48-3572-4D7B-A509-1720361314C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crr</t>
        </r>
      </text>
    </comment>
    <comment ref="I135" authorId="0" shapeId="0" xr:uid="{F8873CCA-4F44-4643-A8FE-C862D50BE355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NEED AMD COPY</t>
        </r>
      </text>
    </comment>
    <comment ref="C148" authorId="0" shapeId="0" xr:uid="{C073A3E0-AFF5-47A2-9374-E4D1916D0ECD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1</t>
        </r>
      </text>
    </comment>
    <comment ref="C152" authorId="0" shapeId="0" xr:uid="{9113DF79-48E0-48AB-8D43-8784B35837C6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crr</t>
        </r>
      </text>
    </comment>
    <comment ref="C155" authorId="0" shapeId="0" xr:uid="{FAB8AA95-A2C1-4736-9330-29C477BD30F4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H155" authorId="0" shapeId="0" xr:uid="{8E999856-B5CB-4014-AE03-E7CF564E48FE}">
      <text>
        <r>
          <rPr>
            <b/>
            <sz val="9"/>
            <color indexed="81"/>
            <rFont val="Tahoma"/>
          </rPr>
          <t>PC:</t>
        </r>
        <r>
          <rPr>
            <sz val="9"/>
            <color indexed="81"/>
            <rFont val="Tahoma"/>
          </rPr>
          <t xml:space="preserve">
CANCELED</t>
        </r>
      </text>
    </comment>
    <comment ref="I166" authorId="0" shapeId="0" xr:uid="{5C2623FA-898E-4499-A18D-B6EA27F8374D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168" authorId="0" shapeId="0" xr:uid="{5D1F467D-BE38-48BE-BDAC-A3A55C558568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crr</t>
        </r>
      </text>
    </comment>
    <comment ref="C169" authorId="0" shapeId="0" xr:uid="{82AEAB05-1F4F-414D-B146-3FDBB809A211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1</t>
        </r>
      </text>
    </comment>
    <comment ref="C172" authorId="0" shapeId="0" xr:uid="{1FCB2B6C-CAA0-4123-9D10-57B8735AFAE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1</t>
        </r>
      </text>
    </comment>
    <comment ref="C185" authorId="0" shapeId="0" xr:uid="{C7BB02A7-9D79-40FB-8BEE-40F3B587898D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NEED CRR</t>
        </r>
      </text>
    </comment>
    <comment ref="C186" authorId="0" shapeId="0" xr:uid="{718BB268-40A4-48C3-9D9E-EA967616A03A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CRR</t>
        </r>
      </text>
    </comment>
    <comment ref="I193" authorId="0" shapeId="0" xr:uid="{4FD98CA7-9892-4C8D-B2BE-1ABC6198A124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201" authorId="0" shapeId="0" xr:uid="{D2F18FA2-3249-44B0-AE01-6AE538A3B07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</t>
        </r>
      </text>
    </comment>
    <comment ref="C202" authorId="0" shapeId="0" xr:uid="{5BADFF73-77B2-4060-82B8-D30F28B5427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crr</t>
        </r>
      </text>
    </comment>
    <comment ref="I206" authorId="0" shapeId="0" xr:uid="{F5728AE0-A91B-493C-9266-71ADE6893C0F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211" authorId="0" shapeId="0" xr:uid="{4AED613F-F187-41A0-9B36-122DA0365DAF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</t>
        </r>
      </text>
    </comment>
    <comment ref="I215" authorId="0" shapeId="0" xr:uid="{9522009C-3224-4616-8050-68A2D26B3445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I219" authorId="0" shapeId="0" xr:uid="{C3BA7AA8-E5B3-4E03-90CB-FDE354C59D97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I220" authorId="0" shapeId="0" xr:uid="{BBAD3DC1-632F-4E2B-8B31-09020410AC8D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223" authorId="0" shapeId="0" xr:uid="{9F0D5F4A-B71D-43FE-9010-933D22E28E5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1</t>
        </r>
      </text>
    </comment>
    <comment ref="C233" authorId="0" shapeId="0" xr:uid="{A834FDD7-9458-46F8-9641-21328BA30C6E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crr &amp; amd</t>
        </r>
      </text>
    </comment>
    <comment ref="C234" authorId="0" shapeId="0" xr:uid="{2422E158-B7BC-4938-808D-239EF16F727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1</t>
        </r>
      </text>
    </comment>
    <comment ref="I236" authorId="0" shapeId="0" xr:uid="{B3E85962-4EBE-4276-A40F-E0F7E2319898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I238" authorId="0" shapeId="0" xr:uid="{196E712E-E1D1-4ADC-821F-4B1CF3731406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247" authorId="0" shapeId="0" xr:uid="{242C0C4E-F769-4B71-AC6C-A9626972A1E7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CRR AMD 1</t>
        </r>
      </text>
    </comment>
    <comment ref="I253" authorId="0" shapeId="0" xr:uid="{ED9F857D-AEC7-495C-90FA-67991FC1E741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255" authorId="0" shapeId="0" xr:uid="{1805043C-0720-41AB-8F7A-AB235B02DC34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COPY</t>
        </r>
      </text>
    </comment>
    <comment ref="C262" authorId="0" shapeId="0" xr:uid="{0CD503F4-7E88-4877-9E1E-A42B3F817B9A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GOTCRN</t>
        </r>
      </text>
    </comment>
    <comment ref="I271" authorId="0" shapeId="0" xr:uid="{2455126E-9C15-48A9-BEB4-5C54A6FA4AB2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273" authorId="0" shapeId="0" xr:uid="{9BFCED38-0A3F-45DA-9687-B9BCBD78CFA8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</t>
        </r>
      </text>
    </comment>
    <comment ref="C288" authorId="0" shapeId="0" xr:uid="{A44FD955-A6E7-4D3E-8919-4FB1BFCC7162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CRR</t>
        </r>
      </text>
    </comment>
    <comment ref="C290" authorId="0" shapeId="0" xr:uid="{69C853EC-7C65-43BD-9723-45D20AD8D86D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crr</t>
        </r>
      </text>
    </comment>
    <comment ref="I290" authorId="0" shapeId="0" xr:uid="{27BF5BC9-DEC1-4D75-A0F7-E986673BCD25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 1
GOT amd 2
Got need amd 3</t>
        </r>
      </text>
    </comment>
    <comment ref="I297" authorId="0" shapeId="0" xr:uid="{10A4991E-253B-4AE0-9817-F566A3DCEB42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30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NEED CORRECTIONS</t>
        </r>
      </text>
    </comment>
    <comment ref="I303" authorId="0" shapeId="0" xr:uid="{9F0DC8DE-CF10-480D-BF7B-2C93CA5A84A3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H313" authorId="0" shapeId="0" xr:uid="{95C1C239-04FF-46E1-A245-E28042CC69A8}">
      <text>
        <r>
          <rPr>
            <b/>
            <sz val="9"/>
            <color indexed="81"/>
            <rFont val="Tahoma"/>
          </rPr>
          <t>PC:</t>
        </r>
        <r>
          <rPr>
            <sz val="9"/>
            <color indexed="81"/>
            <rFont val="Tahoma"/>
          </rPr>
          <t xml:space="preserve">
CANCELED</t>
        </r>
      </text>
    </comment>
    <comment ref="C315" authorId="0" shapeId="0" xr:uid="{6CF54998-4441-493E-AE2E-9FB7ED8ADC94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CRN</t>
        </r>
      </text>
    </comment>
    <comment ref="C318" authorId="0" shapeId="0" xr:uid="{113078A0-76BB-4AB2-91FE-622772BC727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need crr</t>
        </r>
      </text>
    </comment>
    <comment ref="I318" authorId="0" shapeId="0" xr:uid="{AF36ED80-9762-4506-8652-911BD7D7EBDE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need amd copy</t>
        </r>
      </text>
    </comment>
    <comment ref="C329" authorId="0" shapeId="0" xr:uid="{BBDE8017-8C0D-48DD-8941-F449B3CB58B5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CRR</t>
        </r>
      </text>
    </comment>
    <comment ref="I330" authorId="0" shapeId="0" xr:uid="{3F4BE1E3-6737-48CD-98B6-53D3C63494DD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I332" authorId="0" shapeId="0" xr:uid="{1F2C3210-98A2-42E3-B0BD-CFD9696EF66A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334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CORRECTIONS</t>
        </r>
      </text>
    </comment>
    <comment ref="I33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</t>
        </r>
      </text>
    </comment>
    <comment ref="C352" authorId="0" shapeId="0" xr:uid="{7F9A3EEB-41A8-444D-B88A-9EAA082FA88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3</t>
        </r>
      </text>
    </comment>
    <comment ref="I352" authorId="0" shapeId="0" xr:uid="{20D67743-1751-4BC6-9857-E1A652BA89E5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I35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</t>
        </r>
      </text>
    </comment>
    <comment ref="C39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CORRECTIONS</t>
        </r>
      </text>
    </comment>
    <comment ref="I391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394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1</t>
        </r>
      </text>
    </comment>
    <comment ref="I394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</t>
        </r>
      </text>
    </comment>
    <comment ref="I396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398" authorId="0" shapeId="0" xr:uid="{BE05442C-2904-4E67-9047-D11FCA7C9136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</t>
        </r>
      </text>
    </comment>
    <comment ref="C401" authorId="0" shapeId="0" xr:uid="{DDC18D49-4902-4DC8-A29A-1D27F3BA405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need crn</t>
        </r>
      </text>
    </comment>
    <comment ref="C40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ADVANCE
NEED CORRECTION</t>
        </r>
      </text>
    </comment>
    <comment ref="C40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ADVANCE
NEED CORRECTION</t>
        </r>
      </text>
    </comment>
    <comment ref="I405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407" authorId="0" shapeId="0" xr:uid="{BED1DB5B-48C1-464F-AB37-AF923DABBD69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CRR</t>
        </r>
      </text>
    </comment>
    <comment ref="I409" authorId="0" shapeId="0" xr:uid="{8523AA4C-C821-4C80-8B36-9C4002AB6BBD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411" authorId="0" shapeId="0" xr:uid="{5F2FABF1-C548-44FA-9419-8294D73EAC76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CRR</t>
        </r>
      </text>
    </comment>
    <comment ref="C41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AL-ARAFA PROVIDED CORRECTION OF PAYMENT UPTO 30$
GOT CORRECTIONS</t>
        </r>
      </text>
    </comment>
    <comment ref="I415" authorId="0" shapeId="0" xr:uid="{00000000-0006-0000-0000-000010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42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corrections</t>
        </r>
      </text>
    </comment>
    <comment ref="C424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CORRECTIONS</t>
        </r>
      </text>
    </comment>
    <comment ref="C426" authorId="0" shapeId="0" xr:uid="{00000000-0006-0000-0000-000013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NEED CORRECTIONS</t>
        </r>
      </text>
    </comment>
    <comment ref="C434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CORRECTION COPY</t>
        </r>
      </text>
    </comment>
    <comment ref="I436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 1
GOT AMD COPY 2</t>
        </r>
      </text>
    </comment>
    <comment ref="C447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CORRECTION</t>
        </r>
      </text>
    </comment>
    <comment ref="I46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 
GOT AMD COPY 2</t>
        </r>
      </text>
    </comment>
    <comment ref="I463" authorId="0" shapeId="0" xr:uid="{00000000-0006-0000-0000-000018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I472" authorId="0" shapeId="0" xr:uid="{00000000-0006-0000-0000-000019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
GOT AMD 2 -8200
GOT AMD 3 -10000
GOT AMD 4- 9225</t>
        </r>
      </text>
    </comment>
    <comment ref="C475" authorId="0" shapeId="0" xr:uid="{98F7F6E1-C9F7-4287-8FA5-4FFD189E8C58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1</t>
        </r>
      </text>
    </comment>
    <comment ref="I480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</t>
        </r>
      </text>
    </comment>
    <comment ref="C504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CRN</t>
        </r>
      </text>
    </comment>
    <comment ref="I513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</t>
        </r>
      </text>
    </comment>
    <comment ref="C514" authorId="0" shapeId="0" xr:uid="{00000000-0006-0000-0000-00001D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CORRECTIONS</t>
        </r>
      </text>
    </comment>
    <comment ref="I514" authorId="0" shapeId="0" xr:uid="{00000000-0006-0000-0000-00001E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520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CORRECTIONS</t>
        </r>
      </text>
    </comment>
    <comment ref="I521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</t>
        </r>
      </text>
    </comment>
    <comment ref="I529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</t>
        </r>
      </text>
    </comment>
    <comment ref="C534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CORRECTIONS</t>
        </r>
      </text>
    </comment>
    <comment ref="I550" authorId="0" shapeId="0" xr:uid="{00000000-0006-0000-0000-000023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553" authorId="0" shapeId="0" xr:uid="{263F1C2A-A185-4F15-B82A-740DA18183FF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BANK DUPLICATE COPY - AMD 1</t>
        </r>
      </text>
    </comment>
    <comment ref="I55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 
need amd 3</t>
        </r>
      </text>
    </comment>
    <comment ref="C567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CRN</t>
        </r>
      </text>
    </comment>
    <comment ref="I580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 28.03.26</t>
        </r>
      </text>
    </comment>
    <comment ref="C583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CORRECTIONS</t>
        </r>
      </text>
    </comment>
    <comment ref="C584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CORRECTIONS</t>
        </r>
      </text>
    </comment>
    <comment ref="I599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 17.02.26</t>
        </r>
      </text>
    </comment>
    <comment ref="I612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</t>
        </r>
      </text>
    </comment>
    <comment ref="I618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 02.03.26
GOT AMD 2 COPY </t>
        </r>
      </text>
    </comment>
    <comment ref="I641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 19.02.26</t>
        </r>
      </text>
    </comment>
    <comment ref="I649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</t>
        </r>
      </text>
    </comment>
    <comment ref="I65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</t>
        </r>
      </text>
    </comment>
    <comment ref="I656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 01.03.26</t>
        </r>
      </text>
    </comment>
    <comment ref="I658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1 COPY 24.02.26
GOT AMD 2 COPY 12.03.26</t>
        </r>
      </text>
    </comment>
    <comment ref="I663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 12.03.26</t>
        </r>
      </text>
    </comment>
    <comment ref="I676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</t>
        </r>
      </text>
    </comment>
    <comment ref="I681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</t>
        </r>
      </text>
    </comment>
    <comment ref="I682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 29.01.26</t>
        </r>
      </text>
    </comment>
    <comment ref="I692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 17.02.26</t>
        </r>
      </text>
    </comment>
    <comment ref="I693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</t>
        </r>
      </text>
    </comment>
    <comment ref="C704" authorId="0" shapeId="0" xr:uid="{F447F6D4-687E-4DD8-A801-87287A4D144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</t>
        </r>
      </text>
    </comment>
    <comment ref="I714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 17.02.26</t>
        </r>
      </text>
    </comment>
    <comment ref="I745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 17.02.26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C32" authorId="0" shapeId="0" xr:uid="{58E3DE9B-EC32-431D-84FB-8886D9FA6B4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need crr</t>
        </r>
      </text>
    </comment>
    <comment ref="C57" authorId="0" shapeId="0" xr:uid="{014A501A-BA1F-4D2A-A27C-286223E69362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crr</t>
        </r>
      </text>
    </comment>
    <comment ref="C104" authorId="0" shapeId="0" xr:uid="{58C204AA-24EE-4E7B-9DA9-71826893FC8C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</t>
        </r>
      </text>
    </comment>
    <comment ref="C13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CORRECTIONS</t>
        </r>
      </text>
    </comment>
    <comment ref="I15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 24.02.26</t>
        </r>
      </text>
    </comment>
    <comment ref="I17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NEED AMD COPY</t>
        </r>
      </text>
    </comment>
    <comment ref="I18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GOT amd copy 17.02.26</t>
        </r>
      </text>
    </comment>
    <comment ref="I18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NEED AMD COPY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I1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 AMD COPY</t>
        </r>
      </text>
    </comment>
    <comment ref="C19" authorId="0" shapeId="0" xr:uid="{51AC4E6A-4562-4C54-ADC0-FF8FD474A787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GOTAMD 1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<sst xmlns="http://schemas.openxmlformats.org/spreadsheetml/2006/main" count="8011" uniqueCount="2877">
  <si>
    <t>PI NO</t>
  </si>
  <si>
    <t>Applicant Name</t>
  </si>
  <si>
    <t>Issuing Bank</t>
  </si>
  <si>
    <t>Unit Price</t>
  </si>
  <si>
    <t>Quantity</t>
  </si>
  <si>
    <t>Shipment Date</t>
  </si>
  <si>
    <t>Expiry Date</t>
  </si>
  <si>
    <t>Sl No</t>
  </si>
  <si>
    <t>Marketing Person</t>
  </si>
  <si>
    <t>LC Rev Date</t>
  </si>
  <si>
    <t>LC Date</t>
  </si>
  <si>
    <t>LC Number</t>
  </si>
  <si>
    <t>Total</t>
  </si>
  <si>
    <t>LC Value</t>
  </si>
  <si>
    <t>Amd Value</t>
  </si>
  <si>
    <t>ABF KNIT WEAR LTD.</t>
  </si>
  <si>
    <t>JANATA BANK PLC. NARAYANGANJ BRANCH</t>
  </si>
  <si>
    <t>ABLOOM DESIGN LTD.</t>
  </si>
  <si>
    <t>PREMIER BANK LTD. NARAYANGONJ BRANCH</t>
  </si>
  <si>
    <t>Mr. Amran Sir</t>
  </si>
  <si>
    <t>ABONI TEXTILES LTD.</t>
  </si>
  <si>
    <t>HSBC TEJGAON BRANCH</t>
  </si>
  <si>
    <t>ACS TEXTILES (BANGLADESH) LTD.</t>
  </si>
  <si>
    <t>SOUTHEAST BANK LTD. PRINCIPAL BRANCH</t>
  </si>
  <si>
    <t>Director Sir</t>
  </si>
  <si>
    <t>ACS TOWELS LTD.</t>
  </si>
  <si>
    <t>AFIYA KNITWEAR LTD.</t>
  </si>
  <si>
    <t>SOCIAL ISLAMI BANK PLC. UTTARA BRANCH</t>
  </si>
  <si>
    <t>AKIJ TEXTILE MILLS LTD.</t>
  </si>
  <si>
    <t>COMMERCIAL BANK OF CEYLON PLC GULSHAN BRANCH</t>
  </si>
  <si>
    <t>ALIM KNIT (BD) LTD.</t>
  </si>
  <si>
    <t>SHAHJALAL ISLAMI BANK PLC UTTARA BRANCH</t>
  </si>
  <si>
    <t>BRAC BANK T.O. TEJGAON BRANCH.</t>
  </si>
  <si>
    <t>APEX FASHION WEAR LTD.</t>
  </si>
  <si>
    <t>Mr. Sohel Sir</t>
  </si>
  <si>
    <t>APEX SPINNING &amp; KNITING MILLS LTD.</t>
  </si>
  <si>
    <t>EBL TRADE OPERATIONS GULSHAN BRANCH</t>
  </si>
  <si>
    <t>APEX TEXTILE PRINTING MILLS LTD.</t>
  </si>
  <si>
    <t>AR TEX COMPOSITE LTD.</t>
  </si>
  <si>
    <t>DBBL CTS-NARAYANGANJ BRANCH</t>
  </si>
  <si>
    <t>ARGON DENIMS LTD.</t>
  </si>
  <si>
    <t>ONE BANK PLC MOGHBAZAR BRANCH</t>
  </si>
  <si>
    <t>ARKAY KNIT DYEING MILLS LTD.</t>
  </si>
  <si>
    <t>MUTUAL TRUST BANK LTD. MIST MOTIJHEEL BRANCH</t>
  </si>
  <si>
    <t>AXIS KNITWEARS LTD.</t>
  </si>
  <si>
    <t>DBBL CTS-TEJGAON BRANCH</t>
  </si>
  <si>
    <t>BARNALI TEXTILE AND PRINTING IND. (PVT) LTD.</t>
  </si>
  <si>
    <t>JAMUNA BANK N.GONJ BRANCH.</t>
  </si>
  <si>
    <t>Mr. Wadud Sir</t>
  </si>
  <si>
    <t>BEA-CON KNITWEAR LTD.</t>
  </si>
  <si>
    <t>UCBL TSC DILKUSHA BRANCH</t>
  </si>
  <si>
    <t>BLUE PLANET FASHION WEAR LTD.</t>
  </si>
  <si>
    <t>ISLAMI BANK BANGLADESH PLC VIP ROAD BRANCH</t>
  </si>
  <si>
    <t>BOTTOMS GALLERY (PVT) LTD.</t>
  </si>
  <si>
    <t>AGRANI BANK PLC GULSHAN CORPORATE BRANCH</t>
  </si>
  <si>
    <t>BRAVO DESIGN LTD.</t>
  </si>
  <si>
    <t>AGRANI BANK LTD. SHEEATON HOTEL BRANCH</t>
  </si>
  <si>
    <t>CA KNITWEAR LTD.</t>
  </si>
  <si>
    <t>UNITED COMMERCIAL BANK PLC. GULSHAN BRANCH</t>
  </si>
  <si>
    <t>CITY BANK TSD. GULSHAN BRANCH.</t>
  </si>
  <si>
    <t>CHAITY COMPOSITE LTD.</t>
  </si>
  <si>
    <t>SOUTHEAST BANK PLC. GULSHAN BRANCH</t>
  </si>
  <si>
    <t xml:space="preserve">CHORKA TEXTILE LTD. </t>
  </si>
  <si>
    <t>ISLAMI BANK PLC. HEAD OFFICE COMPLEX BRANCH</t>
  </si>
  <si>
    <t>COMFIT COMPOSITE KNIT LTD.</t>
  </si>
  <si>
    <t>COMPTEX BANGLADESH LTD.</t>
  </si>
  <si>
    <t>BANK ASIA LTD BANANI BRANCH</t>
  </si>
  <si>
    <t>CONFIDENCE KNITWEAR LTD.</t>
  </si>
  <si>
    <t>COTTON CLUB (BD) LTD.</t>
  </si>
  <si>
    <t>UNITED COMMERCIAL BANK PLC. NIKUNJA BRANCH</t>
  </si>
  <si>
    <t>UCBL TSC GULSHAN BRANCH</t>
  </si>
  <si>
    <t>DICA TEX LTD.</t>
  </si>
  <si>
    <t>TRUST BANK UTTARA BRANCH</t>
  </si>
  <si>
    <t>DIP KNITWEAR LTD.</t>
  </si>
  <si>
    <t>SJIBL BANANI BRANCH</t>
  </si>
  <si>
    <t>DRESSY CLOTHING LTD.</t>
  </si>
  <si>
    <t>AL-ARAFAH ISLAMI BANK PLC GULSHAN BRANCH</t>
  </si>
  <si>
    <t>ECHOTEX LTD.</t>
  </si>
  <si>
    <t>EMON FASHION LTD.</t>
  </si>
  <si>
    <t>EBL TO GULSHAN AVENUE</t>
  </si>
  <si>
    <t>ENVOY TEXTILES LTD.</t>
  </si>
  <si>
    <t>PUBALI BANK LTD. MOHAKHALI BRANCH</t>
  </si>
  <si>
    <t>ESQUIRE KNIT COMPOSITE LTD.</t>
  </si>
  <si>
    <t>AL-ARAFAH ISLAMI BANK LTD.
GULSHAN BRANCH</t>
  </si>
  <si>
    <t>EUPHORIA APPARELS LTD.</t>
  </si>
  <si>
    <t>EURO KNIT WEAR LTD.</t>
  </si>
  <si>
    <t>EVINCE TEXTILE LTD.</t>
  </si>
  <si>
    <t>PUBALI BANK DILKUSHA BRANCH.</t>
  </si>
  <si>
    <t>FAKIR APPARELS LTD.</t>
  </si>
  <si>
    <t>PREMIER BANK LTD. N.GONJ BRANCH</t>
  </si>
  <si>
    <t>FAKIR FASHION LTD.</t>
  </si>
  <si>
    <t>STANDARD CHARTERED BANK GULSHAN BRANCH</t>
  </si>
  <si>
    <t>FAKIR KNITWEARS LTD.</t>
  </si>
  <si>
    <t>UCBL TSC MOTIJHEEL BRANCH</t>
  </si>
  <si>
    <t>FAME APPARELS LTD.</t>
  </si>
  <si>
    <t>PRIME BANK PLC. GULSHAN BRANCH</t>
  </si>
  <si>
    <t xml:space="preserve">PRIME BANK PLC GULSHAN AVENUE BRANCH </t>
  </si>
  <si>
    <t>FAR EAST KNITTING &amp; DYEING INDUSTRIES LTD.</t>
  </si>
  <si>
    <t>CITY BANK PLC TSD. GULSHAN BRANCH.</t>
  </si>
  <si>
    <t>FASHION MAKERS LTD.</t>
  </si>
  <si>
    <t>AGRANI BANK PLC AMIN COURT CORPORATE BRANCH</t>
  </si>
  <si>
    <t>FLAMINGO FASHIONS LTD.</t>
  </si>
  <si>
    <t>FORTIS GARMENTS LTD.</t>
  </si>
  <si>
    <t>UCBL TFO GULSHAN BRANCH.</t>
  </si>
  <si>
    <t>FOUR H DYEING &amp; PRINTING LTD.</t>
  </si>
  <si>
    <t>UCBL CHATTOGRAM BRANCH</t>
  </si>
  <si>
    <t>FRESH APPARELS LTD.</t>
  </si>
  <si>
    <t>UTTARA BANK PLC NARAYANGANJ BRANCH</t>
  </si>
  <si>
    <t>GENERATION NEXT FASHIONS LTD.</t>
  </si>
  <si>
    <t>TRUST BANK LTD GULSHAN CORPORATE BRANCH</t>
  </si>
  <si>
    <t>GLORIUS SUN FASHION GARMENTS LTD.</t>
  </si>
  <si>
    <t>PUBALI BANK DHAKA STADIUM BRANCH.</t>
  </si>
  <si>
    <t>GOLDEN REFIT GARMENTS LTD.</t>
  </si>
  <si>
    <t>PREMIER BANK LTD. BANANI BRANCH</t>
  </si>
  <si>
    <t>GOUMATI KNITWEAR LTD.</t>
  </si>
  <si>
    <t>PUBALI BANK N.GONJ BRANCH.</t>
  </si>
  <si>
    <t>Gramtech Knit Dyeing Finishing &amp; Garments Ind. Ltd.</t>
  </si>
  <si>
    <t>MUTUAL TRUST BANK MOTHIJHEEL BRANCH</t>
  </si>
  <si>
    <t>GREEN LIFE KNIT COMPOSITE LTD.</t>
  </si>
  <si>
    <t>AL-ARAFAH ISLAMI BANK LTD. MOTIJHEEL BRANCH.</t>
  </si>
  <si>
    <t>H R TEXTILE MILLS LTD.</t>
  </si>
  <si>
    <t>AL-ARAFAH ISLAMI BANK PLC HEAD OFFICE COR BRANCH</t>
  </si>
  <si>
    <t>H.R. TEXTILE MILLS LTD.</t>
  </si>
  <si>
    <t xml:space="preserve">AL-ARAFA ISLAMI BANK PLC. CORPORATE BRANCH </t>
  </si>
  <si>
    <t>HABITUS FASHION LTD.</t>
  </si>
  <si>
    <t>SHAHJALAL ISLAMI BANK PLC. MOHAKHALI BRANCH</t>
  </si>
  <si>
    <t>HA-MEEM DENIM LTD.</t>
  </si>
  <si>
    <t>STANDARD  BANK PLC. GULSHAN BRANCH</t>
  </si>
  <si>
    <t>HAMS GARMENTS LTD.</t>
  </si>
  <si>
    <t>SHAHJALAL ISLAMI BANK LTD. DHANMONDI BRANCH</t>
  </si>
  <si>
    <t>HARUN TWISTING IND. (PVT) LTD.</t>
  </si>
  <si>
    <t>BASIC BANK LTD.</t>
  </si>
  <si>
    <t>HOORAIN HTF LTD.</t>
  </si>
  <si>
    <t>AGRANI BANK PLC PRINCIPAL BRANCH</t>
  </si>
  <si>
    <t>HOSSAIN DYEING &amp; PRINTING MILLS LTD.</t>
  </si>
  <si>
    <t>EBL TRADE OPERATIONS GULSHAN BRANCH.</t>
  </si>
  <si>
    <t>HOSSAIN DYEING &amp; PRINTING MILLS LTD. (UNIT-2)</t>
  </si>
  <si>
    <t>SHAHJALAL ISLAMI BANK MAIN BRANCH DILKUSHA</t>
  </si>
  <si>
    <t>IBRAHIM KNIT GARMENTS (PVT) LTD.</t>
  </si>
  <si>
    <t>STANDARD BANK PLC NARAYANGANJ BRANCH</t>
  </si>
  <si>
    <t>IFS TEXWEAR (Pvt.) LTD.</t>
  </si>
  <si>
    <t>IMPRESS NEWTEX COMPOSITE TEXTILES LTD.</t>
  </si>
  <si>
    <t>INGENITEX BD LTD.</t>
  </si>
  <si>
    <t>INTERSTOFF APPARELS LTD.</t>
  </si>
  <si>
    <t>MERCANTILE BANK LTD. DHANMONDI BRANCH</t>
  </si>
  <si>
    <t>AL-ARAFAH ISLAMI BANK LTD. MOTIJHEEL BRANCH</t>
  </si>
  <si>
    <t>INTIMATE ATTIRE LTD.</t>
  </si>
  <si>
    <t>MTBL MIST DHAKA CENTRE MOTIJHEEL</t>
  </si>
  <si>
    <t>IRENE KNITWEAR LTD.</t>
  </si>
  <si>
    <t>JAMUNA BANK PLC. FOREIGN EXCHANGE BRANCH</t>
  </si>
  <si>
    <t>J.M. FABRICS LTD.</t>
  </si>
  <si>
    <t>JANN COMPOSITE MILLS LTD.</t>
  </si>
  <si>
    <t xml:space="preserve">PRIME BANK PLC GULSHAN BRANCH </t>
  </si>
  <si>
    <t>K.A. DESIGN LTD.</t>
  </si>
  <si>
    <t>KAS KNIT WEAR LTD.</t>
  </si>
  <si>
    <t>KDS TEXTILE MILLS LTD.</t>
  </si>
  <si>
    <t xml:space="preserve">PRIME BANK PLC TSD CHATTOGRAM </t>
  </si>
  <si>
    <t>KNIT FAIR LTD.</t>
  </si>
  <si>
    <t>UCB PLC DILKUSHA BRANCH</t>
  </si>
  <si>
    <t>MD. Sir</t>
  </si>
  <si>
    <t>KNIT LINE FASHION</t>
  </si>
  <si>
    <t>AGRANI BANK PLC CORPORATE BRANCH</t>
  </si>
  <si>
    <t>KNIT PLUS LTD.</t>
  </si>
  <si>
    <t>ONE BANK PLC KAWRAN BAZAR BRANCH</t>
  </si>
  <si>
    <t>KNIT REFLEX LTD.</t>
  </si>
  <si>
    <t>LAKHSMA INNERWEAR LTD.</t>
  </si>
  <si>
    <t>TRUST BANK LTD. MILIENNIUM CORPORATE BRANCH</t>
  </si>
  <si>
    <t>LIBERTY KNITWEAR LTD.</t>
  </si>
  <si>
    <t>JAMUNA BANK GULSHAN BRANCH.</t>
  </si>
  <si>
    <t>LIDA TEXTILE &amp; DYEING LTD.</t>
  </si>
  <si>
    <t>LIFE TEXTILE (PVT.) LTD.</t>
  </si>
  <si>
    <t>LINTAS BANGLADESH CO. LTD.</t>
  </si>
  <si>
    <t>CHOWDHURY</t>
  </si>
  <si>
    <t>LIZ FASHION INDUSTRY LTD.</t>
  </si>
  <si>
    <t>M.M. KNITWEAR LTD.</t>
  </si>
  <si>
    <t>MAHMUD FABRICS &amp; FINISHING LTD.</t>
  </si>
  <si>
    <t>AL-ARAFAH ISLAMI BANK LTD. GULSHAN BRANCH</t>
  </si>
  <si>
    <t>MAJIB FASHIONS LTD</t>
  </si>
  <si>
    <t>MAMUN KNITWEAR LTD.</t>
  </si>
  <si>
    <t>UCBL GULSHAN BRANCH.</t>
  </si>
  <si>
    <t>MASCO COTTONS LTD.</t>
  </si>
  <si>
    <t>JAMUNA BANK MOHAKHALI BRANCH.</t>
  </si>
  <si>
    <t>MASCO INDUSTRIES LTD.</t>
  </si>
  <si>
    <t>PUBALI BANK PLC. MOHAKHALI BRANCH</t>
  </si>
  <si>
    <t>MAZIB FASHIONS LTD.</t>
  </si>
  <si>
    <t>MODELE DE CAPITAL IND. LTD.</t>
  </si>
  <si>
    <t>MONDOL FABRICS LTD.</t>
  </si>
  <si>
    <t>UCBL TFO NIKUNJA BRANCH.</t>
  </si>
  <si>
    <t>N.R. KNITTING MILLS LTD.</t>
  </si>
  <si>
    <t>DBBL NARAYANGANJ BRANCH</t>
  </si>
  <si>
    <t>NEWAGE TEXTILES LTD.</t>
  </si>
  <si>
    <t>SHAHJALAL ISLAMI BANK LTD. FOREIGN EXCHANGE BRANCH</t>
  </si>
  <si>
    <t>NICE DENIM MILLS LTD.</t>
  </si>
  <si>
    <t>NIRZHOR KNITWEAR LIMITED</t>
  </si>
  <si>
    <t>PREMIER BANK LTD. IMAMGONJ BRANCH</t>
  </si>
  <si>
    <t>NORP KNIT INDUSTRIES LTD.</t>
  </si>
  <si>
    <t>NOVEL HURRICANE KNIT GARMENTS LTD.</t>
  </si>
  <si>
    <t>NRG KNIT COMPOSITE</t>
  </si>
  <si>
    <t xml:space="preserve">AL-ARAFA ISLAMI BANK PLC. DILKUSHA BRANCH </t>
  </si>
  <si>
    <t>NZ DENIM LTD.</t>
  </si>
  <si>
    <t>NZ FABRICS LTD.</t>
  </si>
  <si>
    <t>P.N COMPOSITE LTD.</t>
  </si>
  <si>
    <t>EXIM BANK NARAYANGANJ BRANCH</t>
  </si>
  <si>
    <t>PACIFIC KNITEX LTD.</t>
  </si>
  <si>
    <t>HSBC CHATTOGRAM BRANCH</t>
  </si>
  <si>
    <t>PANAGEA FASHION WEAR LTD.</t>
  </si>
  <si>
    <t>JANATA BANK PLC. BANANI BRANCH</t>
  </si>
  <si>
    <t>QUATTRO FASHION LTD.</t>
  </si>
  <si>
    <t>BANK ASIA PLC MCB BANANI BRANCH</t>
  </si>
  <si>
    <t>RADIANCE KNITWEAR LTD.</t>
  </si>
  <si>
    <t>RAGADI TEXTILES LTD.</t>
  </si>
  <si>
    <t>RAHIMAAZIZ KNITSPIN LTD.</t>
  </si>
  <si>
    <t>RAIYAN KNIT COMPOSITE LTD.</t>
  </si>
  <si>
    <t>SOUTHEAST BANK PLC. MOTIJHEEL BRANCH</t>
  </si>
  <si>
    <t>ROMO FASHION TODAY LTD.</t>
  </si>
  <si>
    <t>SOUTHEAST BANK LTD. KAWRAN BAZAR BRANCH</t>
  </si>
  <si>
    <t>RONY KNIT COMPOSITE PVT LTD.</t>
  </si>
  <si>
    <t>IFIC BANK PLC MOTIJHEEL BRANCH</t>
  </si>
  <si>
    <t>ROSE INTIMATES LTD.</t>
  </si>
  <si>
    <t>RUPA FABRICS LTD.</t>
  </si>
  <si>
    <t>S M KNITWEARS LTD.</t>
  </si>
  <si>
    <t>SANJANA FABRICS LTD.</t>
  </si>
  <si>
    <t>PREMIER BANK PLC DILKUSHA BRANCH</t>
  </si>
  <si>
    <t>SARA FASHION WEAR LTD.</t>
  </si>
  <si>
    <t>JAMUNA BANK UTTARA BRANCH</t>
  </si>
  <si>
    <t>SAWFTEX LTD.</t>
  </si>
  <si>
    <t>ISLAMI BANK BANGLADESH PLC, MOTIJHEEL BRANCH</t>
  </si>
  <si>
    <t>SCANDEX TEXTILE INDUSTRIES LTD.</t>
  </si>
  <si>
    <t>SCARLET KNITWEAR'S LTD.</t>
  </si>
  <si>
    <t>SHAHJALAL ISLAMI BANK LTD, NARAYANGANJ BRANCH</t>
  </si>
  <si>
    <t>SEA TEX LIMITED</t>
  </si>
  <si>
    <t>SOUTHEAST BANK LTD. CHITTAGONG BRANCH</t>
  </si>
  <si>
    <t>SILKEN SEWING LTD.</t>
  </si>
  <si>
    <t>SILVER COMPOSITE TEXTILE MILLS LTD.</t>
  </si>
  <si>
    <t>MERCANTILE BANK LTD. GULSHAN BRANCH</t>
  </si>
  <si>
    <t>SOUROV HOSIERY</t>
  </si>
  <si>
    <t>MR. Shahbuddin</t>
  </si>
  <si>
    <t>SOUTH EAST TEXTILES (PVT) LTD.</t>
  </si>
  <si>
    <t>SOUTH WEST KNITTING LTD.</t>
  </si>
  <si>
    <t>SQ HUES LTD.</t>
  </si>
  <si>
    <t>PUBALI BANK LTD. GULSHAN CORPORATE BRANCH</t>
  </si>
  <si>
    <t>SUPREME STITCH LTD.</t>
  </si>
  <si>
    <t>SURMA GARMENTS LTD.</t>
  </si>
  <si>
    <t>TAQWA FABRICS LIMITED</t>
  </si>
  <si>
    <t>ISLAMI BANK BANGLADESH PLC MOTIJHEEL BRANCH</t>
  </si>
  <si>
    <t>TEX TOWN LIMITED</t>
  </si>
  <si>
    <t>TOSRIFA INDUSTRIES LTD.</t>
  </si>
  <si>
    <t>TRUST KNITWEAR INDUSTRIES LTD.</t>
  </si>
  <si>
    <t>SIBL PRINCIPAL BRANCH DILKUSHA</t>
  </si>
  <si>
    <t>TRUST KNITWEAR LTD.</t>
  </si>
  <si>
    <t>SIBL PRINCIPAL BRANCH</t>
  </si>
  <si>
    <t>UNIQUE DESIGNERS LTD.</t>
  </si>
  <si>
    <t>UNITED KNIT WEARS (PVT) LTD.</t>
  </si>
  <si>
    <t>UNITY FABRICS INDUSTRIES LTD.</t>
  </si>
  <si>
    <t>ISLAMI BANK BANGLADESH PLC GAZIPUR BRANCH</t>
  </si>
  <si>
    <t>UTAH KNITING &amp; DYING LTD.</t>
  </si>
  <si>
    <t>MERCANTILE BANK LTD. DILKUSHA BRANCH</t>
  </si>
  <si>
    <t>VERSATILE TEXTILES LTD.</t>
  </si>
  <si>
    <t>SIBL NARAYANGANJ BRANCH</t>
  </si>
  <si>
    <t>VICTORIA INTIMATE LTD.</t>
  </si>
  <si>
    <t>V-KNITWEAR &amp; COMPOSITE LTD.</t>
  </si>
  <si>
    <t>AB BANK PLC. MOTIJHEEL BRANCH</t>
  </si>
  <si>
    <t xml:space="preserve">V-TEAC FASHION (PVT) LTD. </t>
  </si>
  <si>
    <t>WISDOM ATTIRES LTD.</t>
  </si>
  <si>
    <t>YUNUSCO T&amp;A (BD) LTD.</t>
  </si>
  <si>
    <t>ZAHEEN KNITWEARS LIMITED</t>
  </si>
  <si>
    <t>NCC BANK LTD. MOTIJHEEL  BRANCH</t>
  </si>
  <si>
    <t>APS APPARELS LTD.</t>
  </si>
  <si>
    <t>SILK INTERNATIONAL LTD.</t>
  </si>
  <si>
    <t>NATIONAL BANK LTD. BABU BAZAR BRANCH</t>
  </si>
  <si>
    <t>MAHMUDA ATTIRES LTD.</t>
  </si>
  <si>
    <t>MERCANTILE BANK PLC. BANANI BRANCH</t>
  </si>
  <si>
    <t>MASCOM COMPOSITE LTD.</t>
  </si>
  <si>
    <t>PUBALI BANK LTD. PRINCIPAL BRANCH</t>
  </si>
  <si>
    <t>NORTHERN FASHION LTD.</t>
  </si>
  <si>
    <t>ACTIVE COMPOSITE MILLS LTD.</t>
  </si>
  <si>
    <t>BONIAN KNIT FASHION LTD.</t>
  </si>
  <si>
    <t>TEX INTERNATIONAL LTD.</t>
  </si>
  <si>
    <t xml:space="preserve"> SHAHJALAL ISLAMI BANK PLC. AGRABAD BRANCH</t>
  </si>
  <si>
    <t>DIVING SPINNING MILLS LTD.</t>
  </si>
  <si>
    <t>DHAKA BANK PLC. TO GULSHAN BRANCH</t>
  </si>
  <si>
    <t>DIVINE FABRICS LTD.</t>
  </si>
  <si>
    <t>CONFIDENCE KNITTING IND. LTD.</t>
  </si>
  <si>
    <t>MASHREQ BANK PSC. NEW YORK</t>
  </si>
  <si>
    <t>SOUTHERN GARMENTS LTD.</t>
  </si>
  <si>
    <t>EXIM BANK PLC UTTARA BRANCH</t>
  </si>
  <si>
    <t>ALLIANCE KNIT COMPOSITE LTD.</t>
  </si>
  <si>
    <t>UCBL FOREIGN EXCHANGE BRANCH</t>
  </si>
  <si>
    <t>LIBAS TEXTILES LIMITED</t>
  </si>
  <si>
    <t>COLOUR AND CO.LTD</t>
  </si>
  <si>
    <t>BLUE PLANET KNITWEAR LTD.</t>
  </si>
  <si>
    <t>MODHUMOTI BANK PLC UTTARA BRANCH</t>
  </si>
  <si>
    <t>RISING KNIT TEXTILES LTD</t>
  </si>
  <si>
    <t>METRO KNITTING &amp; DYEING MILLS LTD.</t>
  </si>
  <si>
    <t>UCBL NARAYANGANJ BRANCH</t>
  </si>
  <si>
    <t>SHANTEX(PVT.) LTD.</t>
  </si>
  <si>
    <t>Gumti Textiles Ltd.</t>
  </si>
  <si>
    <t>APPARELS VILLAGE LTD.</t>
  </si>
  <si>
    <t>ONE BANK PLC PRINCIPAL BRANCH</t>
  </si>
  <si>
    <t>Thermax Yarn Dyed Fabrics Ltd.</t>
  </si>
  <si>
    <t>Al-Arafah Islami Bank PLC  VIP Road Branch</t>
  </si>
  <si>
    <t>EMS APPARELS LTD.</t>
  </si>
  <si>
    <t>UNITED COMMERCIAL BANK LTD ELEPHANT ROAD BRANCH</t>
  </si>
  <si>
    <t>SUTEX</t>
  </si>
  <si>
    <t>HEAVEN TEXTILE MILLS.</t>
  </si>
  <si>
    <t>Bank</t>
  </si>
  <si>
    <t>Bank Keyword</t>
  </si>
  <si>
    <t>LC Prefix</t>
  </si>
  <si>
    <t>BRAC BANK</t>
  </si>
  <si>
    <t>DBBL</t>
  </si>
  <si>
    <t>CITY BANK</t>
  </si>
  <si>
    <t>EBL</t>
  </si>
  <si>
    <t>SHAHJALAL ISLAMI BANK</t>
  </si>
  <si>
    <t>PREMIER BANK</t>
  </si>
  <si>
    <t>UCBL</t>
  </si>
  <si>
    <t>DHAKA BANK</t>
  </si>
  <si>
    <t>AL-ARAFAH ISLAMI BANK</t>
  </si>
  <si>
    <t>EXIM BANK</t>
  </si>
  <si>
    <t>ONE BANK</t>
  </si>
  <si>
    <t>ISLAMI BANK</t>
  </si>
  <si>
    <t>STANDARD CHARTERED</t>
  </si>
  <si>
    <t>MODHUMOTI BANK</t>
  </si>
  <si>
    <t>AGRANI BANK</t>
  </si>
  <si>
    <t>IFIC BANK</t>
  </si>
  <si>
    <t>PUBALI BANK</t>
  </si>
  <si>
    <t>BANK ASIA</t>
  </si>
  <si>
    <t>HSBC</t>
  </si>
  <si>
    <t>NCC BANK</t>
  </si>
  <si>
    <t>SOCIAL ISLAMI BANK</t>
  </si>
  <si>
    <t>MERCANTILE BANK</t>
  </si>
  <si>
    <t>JAMUNA BANK</t>
  </si>
  <si>
    <t>TRUST BANK</t>
  </si>
  <si>
    <t>MTB</t>
  </si>
  <si>
    <t>JANATA BANK</t>
  </si>
  <si>
    <t>STANDARD BANK</t>
  </si>
  <si>
    <t>0751</t>
  </si>
  <si>
    <t>0887</t>
  </si>
  <si>
    <t>0033</t>
  </si>
  <si>
    <t>0201</t>
  </si>
  <si>
    <t>0796</t>
  </si>
  <si>
    <t>0108</t>
  </si>
  <si>
    <t>01</t>
  </si>
  <si>
    <t>21865/25</t>
  </si>
  <si>
    <t>01.01.26</t>
  </si>
  <si>
    <t>01.02.26</t>
  </si>
  <si>
    <t>22.02.26</t>
  </si>
  <si>
    <t>02</t>
  </si>
  <si>
    <t>21771/25</t>
  </si>
  <si>
    <t>411012523131-L</t>
  </si>
  <si>
    <t>31.01.26</t>
  </si>
  <si>
    <t>15.02.26</t>
  </si>
  <si>
    <t>03</t>
  </si>
  <si>
    <t>21859/25</t>
  </si>
  <si>
    <t>SHAHJALAL ISLAMI BANK LTD. KAWRAN BAZAR BRANCH</t>
  </si>
  <si>
    <t>0751 2604 00022</t>
  </si>
  <si>
    <t>2970 2603 00001</t>
  </si>
  <si>
    <t>20.02.26</t>
  </si>
  <si>
    <t>05.02.26</t>
  </si>
  <si>
    <t>20795/25</t>
  </si>
  <si>
    <t>2970 2603 00002</t>
  </si>
  <si>
    <t>26.02.26</t>
  </si>
  <si>
    <t>10.02.26</t>
  </si>
  <si>
    <t>SOUTHEAST BANK</t>
  </si>
  <si>
    <t>1346</t>
  </si>
  <si>
    <t>04</t>
  </si>
  <si>
    <t>21923/25 21924/25 21925/25 21927/25 21928/25</t>
  </si>
  <si>
    <t>2970 2603 00004</t>
  </si>
  <si>
    <t>04.01.26</t>
  </si>
  <si>
    <t>05</t>
  </si>
  <si>
    <t>21939/25 21940/25 21941/25 21942/25 21943/25</t>
  </si>
  <si>
    <t>06</t>
  </si>
  <si>
    <t>21944/25 21945/25 21946/25 21947/25</t>
  </si>
  <si>
    <t>07</t>
  </si>
  <si>
    <t>21934/25</t>
  </si>
  <si>
    <t>08</t>
  </si>
  <si>
    <t>21845/25 21851/25</t>
  </si>
  <si>
    <t>3085 2603 00013</t>
  </si>
  <si>
    <t>3085 2603 00015</t>
  </si>
  <si>
    <t>0751 2603 00004</t>
  </si>
  <si>
    <t>1475 2603 00011</t>
  </si>
  <si>
    <t>09</t>
  </si>
  <si>
    <t>21926/25</t>
  </si>
  <si>
    <t>2970 2603 00006</t>
  </si>
  <si>
    <t>10</t>
  </si>
  <si>
    <t>21929/25 21930/25 21931/25 21932/25</t>
  </si>
  <si>
    <t>2970 2603 00005</t>
  </si>
  <si>
    <t>11</t>
  </si>
  <si>
    <t>21935/25</t>
  </si>
  <si>
    <t>2970 2603 00003</t>
  </si>
  <si>
    <t>12</t>
  </si>
  <si>
    <t>21948/25</t>
  </si>
  <si>
    <t>3085 2603 00014</t>
  </si>
  <si>
    <t xml:space="preserve">0002/25 </t>
  </si>
  <si>
    <t>1475 2603 00014</t>
  </si>
  <si>
    <t>19.02.26</t>
  </si>
  <si>
    <t>04.02.26</t>
  </si>
  <si>
    <t xml:space="preserve">0001/25 </t>
  </si>
  <si>
    <t>0751 2603 00006</t>
  </si>
  <si>
    <t>0751 2603 00005</t>
  </si>
  <si>
    <t>20778/26</t>
  </si>
  <si>
    <t>20819/26</t>
  </si>
  <si>
    <t>1475 2603 00012</t>
  </si>
  <si>
    <t>20821/26 20822/2620823/26 20824/26 20825/26 20826/26</t>
  </si>
  <si>
    <t>3085 2603 00012</t>
  </si>
  <si>
    <t>20816/26 20817/26 20818/26</t>
  </si>
  <si>
    <t>2970 2603 00007</t>
  </si>
  <si>
    <t>13</t>
  </si>
  <si>
    <t>21922/25 21720/25</t>
  </si>
  <si>
    <t>1021 2604 00014</t>
  </si>
  <si>
    <t>14</t>
  </si>
  <si>
    <t>2152</t>
  </si>
  <si>
    <t>21856/25</t>
  </si>
  <si>
    <t>UNITED COMMERCIAL BANK</t>
  </si>
  <si>
    <t>1021</t>
  </si>
  <si>
    <t>UCBL UTTARA BRANCH</t>
  </si>
  <si>
    <t>05.01.26</t>
  </si>
  <si>
    <t>10.03.26</t>
  </si>
  <si>
    <t>28.02.26</t>
  </si>
  <si>
    <t>15</t>
  </si>
  <si>
    <t>21677/25</t>
  </si>
  <si>
    <t>20990/25</t>
  </si>
  <si>
    <t>AL-ARAFAH ISLAMI BANK LTD.NARAYANGANJ BRANCH</t>
  </si>
  <si>
    <t>1088</t>
  </si>
  <si>
    <t>1021 2604 00026</t>
  </si>
  <si>
    <t>1088 2603 0001</t>
  </si>
  <si>
    <t>13.02.26</t>
  </si>
  <si>
    <t>16</t>
  </si>
  <si>
    <t>21863/25</t>
  </si>
  <si>
    <t>0751 2603 00033</t>
  </si>
  <si>
    <t>17</t>
  </si>
  <si>
    <t>21952/26 21953/26</t>
  </si>
  <si>
    <t>0751 2603 00027</t>
  </si>
  <si>
    <t>18</t>
  </si>
  <si>
    <t>21862/25 21864/25</t>
  </si>
  <si>
    <t>0751 2603 00029</t>
  </si>
  <si>
    <t>19</t>
  </si>
  <si>
    <t>21933/26</t>
  </si>
  <si>
    <t>0751 2603 00028</t>
  </si>
  <si>
    <t>20794/25</t>
  </si>
  <si>
    <t>0751 2603 00034</t>
  </si>
  <si>
    <t>16.03.26</t>
  </si>
  <si>
    <t>01.03.26</t>
  </si>
  <si>
    <t>20</t>
  </si>
  <si>
    <t>20991/25</t>
  </si>
  <si>
    <t>1088 2603 0003</t>
  </si>
  <si>
    <t>21</t>
  </si>
  <si>
    <t>21661/25</t>
  </si>
  <si>
    <t>2155 2604 00036</t>
  </si>
  <si>
    <t>2155</t>
  </si>
  <si>
    <t>25.03.26</t>
  </si>
  <si>
    <t>22</t>
  </si>
  <si>
    <t>DPCBD1167352</t>
  </si>
  <si>
    <t>15.03.26</t>
  </si>
  <si>
    <t>DPCB</t>
  </si>
  <si>
    <t>23</t>
  </si>
  <si>
    <t>21951/25</t>
  </si>
  <si>
    <t>1021 2604 00034</t>
  </si>
  <si>
    <t>11.03.26</t>
  </si>
  <si>
    <t>COMMERCIAL BANK OF CEYLON PLC</t>
  </si>
  <si>
    <t>2655</t>
  </si>
  <si>
    <t>24</t>
  </si>
  <si>
    <t>21857/25</t>
  </si>
  <si>
    <t>2655 2604 0011</t>
  </si>
  <si>
    <t>06.01.26</t>
  </si>
  <si>
    <t>25</t>
  </si>
  <si>
    <t>21950/26 21949/26</t>
  </si>
  <si>
    <t>411012526049-L</t>
  </si>
  <si>
    <t>26</t>
  </si>
  <si>
    <t>21838/25</t>
  </si>
  <si>
    <t>2969</t>
  </si>
  <si>
    <t>2969 2604 00074</t>
  </si>
  <si>
    <t>2970</t>
  </si>
  <si>
    <t>18.02.26</t>
  </si>
  <si>
    <t>27</t>
  </si>
  <si>
    <t>21878/25</t>
  </si>
  <si>
    <t>0751 2603 00043</t>
  </si>
  <si>
    <t>28</t>
  </si>
  <si>
    <t>21899/26</t>
  </si>
  <si>
    <t>0751 2603 00041</t>
  </si>
  <si>
    <t>29</t>
  </si>
  <si>
    <t>21968/26</t>
  </si>
  <si>
    <t>0751 2603 00042</t>
  </si>
  <si>
    <t>SHAHJALAL ISLAMI BANK PLC. UTTARA BRANCH.</t>
  </si>
  <si>
    <t>30</t>
  </si>
  <si>
    <t>21965/26</t>
  </si>
  <si>
    <t>1475 2603 00030</t>
  </si>
  <si>
    <t>31</t>
  </si>
  <si>
    <t>21877/25</t>
  </si>
  <si>
    <t>1475 2603 00031</t>
  </si>
  <si>
    <t>32</t>
  </si>
  <si>
    <t>21966/26 21967/26</t>
  </si>
  <si>
    <t>1475 2603 00032</t>
  </si>
  <si>
    <t>33</t>
  </si>
  <si>
    <t>1475 2603 00034</t>
  </si>
  <si>
    <t xml:space="preserve">21882/25 21894/26 21895/26 </t>
  </si>
  <si>
    <t>34</t>
  </si>
  <si>
    <t>21873/25 21875/25 21879/25 21871/25 21872/25</t>
  </si>
  <si>
    <t>1475 2603 00035</t>
  </si>
  <si>
    <t>35</t>
  </si>
  <si>
    <t>3085 2603 00029</t>
  </si>
  <si>
    <t>36</t>
  </si>
  <si>
    <t>21913/26</t>
  </si>
  <si>
    <t>3085 2603 00031</t>
  </si>
  <si>
    <t>37</t>
  </si>
  <si>
    <t>20813/25</t>
  </si>
  <si>
    <t>3085 2603 00032</t>
  </si>
  <si>
    <t>21919/26 21897/26</t>
  </si>
  <si>
    <t>3085 2603 00030</t>
  </si>
  <si>
    <t>20806/25</t>
  </si>
  <si>
    <t>1475 2603 00033</t>
  </si>
  <si>
    <t>20801/25</t>
  </si>
  <si>
    <t>3085 2603 00033</t>
  </si>
  <si>
    <t>38</t>
  </si>
  <si>
    <t>21914/26</t>
  </si>
  <si>
    <t>3085 2603 00034</t>
  </si>
  <si>
    <t>39</t>
  </si>
  <si>
    <t>21938/26</t>
  </si>
  <si>
    <t>2979 2604 00056</t>
  </si>
  <si>
    <t>40</t>
  </si>
  <si>
    <t>21984/25</t>
  </si>
  <si>
    <t>AMBER DENIM MILLS LTD.</t>
  </si>
  <si>
    <t>1335 2604 00089</t>
  </si>
  <si>
    <t>08.01.26</t>
  </si>
  <si>
    <t>25.02.26</t>
  </si>
  <si>
    <t xml:space="preserve">20831/26 20832/26 20833/26 </t>
  </si>
  <si>
    <t>0751 2603 00077</t>
  </si>
  <si>
    <t>20827/26 20828/26 20829/26 20830/26</t>
  </si>
  <si>
    <t>3085 2603 00044</t>
  </si>
  <si>
    <t>41</t>
  </si>
  <si>
    <t>21991/26</t>
  </si>
  <si>
    <t>3085 2603 00050</t>
  </si>
  <si>
    <t>06.03.26</t>
  </si>
  <si>
    <t>42</t>
  </si>
  <si>
    <t>21989/26</t>
  </si>
  <si>
    <t>2970 2603 00008</t>
  </si>
  <si>
    <t>43</t>
  </si>
  <si>
    <t>21954/26</t>
  </si>
  <si>
    <t>3085 2603 00043</t>
  </si>
  <si>
    <t>44</t>
  </si>
  <si>
    <t>21988/26</t>
  </si>
  <si>
    <t>2970 2603 00009</t>
  </si>
  <si>
    <t>45</t>
  </si>
  <si>
    <t>21975/26</t>
  </si>
  <si>
    <t>0751 2603 00076</t>
  </si>
  <si>
    <t>46</t>
  </si>
  <si>
    <t>21976/26 21977/26 21978/26 21979/26</t>
  </si>
  <si>
    <t>0751 2603 00078</t>
  </si>
  <si>
    <t>47</t>
  </si>
  <si>
    <t>21980/26 21981/26 21982/26 21983/26</t>
  </si>
  <si>
    <t>0751 2603 00075</t>
  </si>
  <si>
    <t>48</t>
  </si>
  <si>
    <t>21960/26 21961/26 21962/26 21963/26 21964/26</t>
  </si>
  <si>
    <t>3085 2603 00045</t>
  </si>
  <si>
    <t>49</t>
  </si>
  <si>
    <t>3085 2603 00047</t>
  </si>
  <si>
    <t>50</t>
  </si>
  <si>
    <t>21955/26 21956/26 21957/26 21958/26 21959/26</t>
  </si>
  <si>
    <t>21885/26 21869/26</t>
  </si>
  <si>
    <t>0751 2603 00040</t>
  </si>
  <si>
    <t>20835/26</t>
  </si>
  <si>
    <t>0751 2603 00079</t>
  </si>
  <si>
    <t>11.01.26</t>
  </si>
  <si>
    <t>09.02.26</t>
  </si>
  <si>
    <t>20837/26</t>
  </si>
  <si>
    <t>2970 2603 00010</t>
  </si>
  <si>
    <t>20838/26</t>
  </si>
  <si>
    <t>3085 2603 00056</t>
  </si>
  <si>
    <t>20840/26</t>
  </si>
  <si>
    <t>3085 2603 00059</t>
  </si>
  <si>
    <t>20839/26</t>
  </si>
  <si>
    <t>0751 2603 00080</t>
  </si>
  <si>
    <t>21992/26</t>
  </si>
  <si>
    <t>1475 2603 00061</t>
  </si>
  <si>
    <t>21995/26</t>
  </si>
  <si>
    <t>3085 2603 00060</t>
  </si>
  <si>
    <t>51</t>
  </si>
  <si>
    <t>52</t>
  </si>
  <si>
    <t>14.02.26</t>
  </si>
  <si>
    <t>53</t>
  </si>
  <si>
    <t>21987/26</t>
  </si>
  <si>
    <t>BBCDAK630036</t>
  </si>
  <si>
    <t>05.03.26</t>
  </si>
  <si>
    <t>BBCD</t>
  </si>
  <si>
    <t>2979</t>
  </si>
  <si>
    <t>1475</t>
  </si>
  <si>
    <t>54</t>
  </si>
  <si>
    <t>21985/26</t>
  </si>
  <si>
    <t>1822 2604 0029</t>
  </si>
  <si>
    <t>1335</t>
  </si>
  <si>
    <t>20845/26</t>
  </si>
  <si>
    <t>2970 2603 00011</t>
  </si>
  <si>
    <t>30.01.26</t>
  </si>
  <si>
    <t>0008/26</t>
  </si>
  <si>
    <t>2970 2603 00012</t>
  </si>
  <si>
    <t>12.01.26</t>
  </si>
  <si>
    <t>SIM FABRICS LTD.</t>
  </si>
  <si>
    <t>AGRANI BANK PLC FOREGN EXCHANGE BRANCH</t>
  </si>
  <si>
    <t>0006</t>
  </si>
  <si>
    <t>20851/26</t>
  </si>
  <si>
    <t>0006 2603 0004</t>
  </si>
  <si>
    <t>11.02.26</t>
  </si>
  <si>
    <t>20849/26</t>
  </si>
  <si>
    <t>0006 2603 0006</t>
  </si>
  <si>
    <t>20850/26</t>
  </si>
  <si>
    <t>0006 2603 0005</t>
  </si>
  <si>
    <t>55</t>
  </si>
  <si>
    <t>21986/26</t>
  </si>
  <si>
    <t>0751 2603 00104</t>
  </si>
  <si>
    <t>13.011.26</t>
  </si>
  <si>
    <t>13.03.26</t>
  </si>
  <si>
    <t>56</t>
  </si>
  <si>
    <t>21906/26 21886/26</t>
  </si>
  <si>
    <t>0751 2603 00057</t>
  </si>
  <si>
    <t>07.01.26</t>
  </si>
  <si>
    <t>20.03.26</t>
  </si>
  <si>
    <t>57</t>
  </si>
  <si>
    <t>21892/26</t>
  </si>
  <si>
    <t>DPCBD1167954</t>
  </si>
  <si>
    <t>05.04.26</t>
  </si>
  <si>
    <t>58</t>
  </si>
  <si>
    <t>20992/26</t>
  </si>
  <si>
    <t>1088 2603 0023</t>
  </si>
  <si>
    <t>59</t>
  </si>
  <si>
    <t>20993/26</t>
  </si>
  <si>
    <t>1088 2603 0022</t>
  </si>
  <si>
    <t>20853/26</t>
  </si>
  <si>
    <t>1475 2603 00090</t>
  </si>
  <si>
    <t>12.03.26</t>
  </si>
  <si>
    <t>20852/26</t>
  </si>
  <si>
    <t>1475 2603 00091</t>
  </si>
  <si>
    <t>20854/26</t>
  </si>
  <si>
    <t>0751 2603 00116</t>
  </si>
  <si>
    <t>22030/26</t>
  </si>
  <si>
    <t>60</t>
  </si>
  <si>
    <t>22027/26</t>
  </si>
  <si>
    <t>0751 2603 00120</t>
  </si>
  <si>
    <t>61</t>
  </si>
  <si>
    <t>22026/26</t>
  </si>
  <si>
    <t>0751 2603 00117</t>
  </si>
  <si>
    <t>62</t>
  </si>
  <si>
    <t>22046/26</t>
  </si>
  <si>
    <t>3085 2603 00082</t>
  </si>
  <si>
    <t>63</t>
  </si>
  <si>
    <t>22051/26</t>
  </si>
  <si>
    <t>3085 2603 00081</t>
  </si>
  <si>
    <t>64</t>
  </si>
  <si>
    <t>21972/26</t>
  </si>
  <si>
    <t>2162 2603 00002</t>
  </si>
  <si>
    <t>2162</t>
  </si>
  <si>
    <t>REEDISHA KNITEX LTD</t>
  </si>
  <si>
    <t>65</t>
  </si>
  <si>
    <t>21990/26</t>
  </si>
  <si>
    <t>DPCBDA031312</t>
  </si>
  <si>
    <t>14.01.26</t>
  </si>
  <si>
    <t>07.03.26</t>
  </si>
  <si>
    <t>66</t>
  </si>
  <si>
    <t>22033/26 22034/26 22035/26 22036/26 22037/26 22038/26</t>
  </si>
  <si>
    <t>BBCDAK630067</t>
  </si>
  <si>
    <t>67</t>
  </si>
  <si>
    <t>22059/26</t>
  </si>
  <si>
    <t>1475 2603 00109</t>
  </si>
  <si>
    <t>15.01.26</t>
  </si>
  <si>
    <t>68</t>
  </si>
  <si>
    <t>22047/26</t>
  </si>
  <si>
    <t>3085 2603 00086</t>
  </si>
  <si>
    <t>27.01.26</t>
  </si>
  <si>
    <t>69</t>
  </si>
  <si>
    <t>22048/26</t>
  </si>
  <si>
    <t>0751 2603 00134</t>
  </si>
  <si>
    <t>24.02.26</t>
  </si>
  <si>
    <t>70</t>
  </si>
  <si>
    <t>71</t>
  </si>
  <si>
    <t>22050/26</t>
  </si>
  <si>
    <t>2970 2603 00013</t>
  </si>
  <si>
    <t>22010/26 22011/26 22012/26 22013/26 22015/26</t>
  </si>
  <si>
    <t>3085 2603 00089</t>
  </si>
  <si>
    <t>30.03.26</t>
  </si>
  <si>
    <t>72</t>
  </si>
  <si>
    <t xml:space="preserve">22014/26 22016/26 22017/26 22018/26 </t>
  </si>
  <si>
    <t>3085 2603 00088</t>
  </si>
  <si>
    <t>20846/26 20847/26 20848/26</t>
  </si>
  <si>
    <t>3085 2603 00090</t>
  </si>
  <si>
    <t>20861/26</t>
  </si>
  <si>
    <t>0751 2603 00132</t>
  </si>
  <si>
    <t>0011/26</t>
  </si>
  <si>
    <t>0751 2603 00135</t>
  </si>
  <si>
    <t>20860/26</t>
  </si>
  <si>
    <t>1475 2603 00125</t>
  </si>
  <si>
    <t>0012/26</t>
  </si>
  <si>
    <t>0751 2603 00141</t>
  </si>
  <si>
    <t>18.01.26</t>
  </si>
  <si>
    <t>21.02.26</t>
  </si>
  <si>
    <t>06.02.26</t>
  </si>
  <si>
    <t>0013/26</t>
  </si>
  <si>
    <t>0751 2603 00144</t>
  </si>
  <si>
    <t>20865/26</t>
  </si>
  <si>
    <t>2970 2603 00019</t>
  </si>
  <si>
    <t>20841/26 20842/26 20843/26 20844/26</t>
  </si>
  <si>
    <t>2970 2603 00018</t>
  </si>
  <si>
    <t>73</t>
  </si>
  <si>
    <t>22060/26</t>
  </si>
  <si>
    <t>2970 2603 00017</t>
  </si>
  <si>
    <t>74</t>
  </si>
  <si>
    <t>21997/26 22004/26 22005/26 22006/26 22007/26 22019/26</t>
  </si>
  <si>
    <t>2970 2603 00015</t>
  </si>
  <si>
    <t>75</t>
  </si>
  <si>
    <t>21996/26 21998/26 21999/26 22001/26 22002/26 22003/26</t>
  </si>
  <si>
    <t>2970 2603 00016</t>
  </si>
  <si>
    <t>76</t>
  </si>
  <si>
    <t>22000/26</t>
  </si>
  <si>
    <t>2970 2603 00014</t>
  </si>
  <si>
    <t>77</t>
  </si>
  <si>
    <t>22061/26</t>
  </si>
  <si>
    <t>0751 2603 00138</t>
  </si>
  <si>
    <t>28.03.26</t>
  </si>
  <si>
    <t>78</t>
  </si>
  <si>
    <t>22069/26</t>
  </si>
  <si>
    <t>0751 2603 00142</t>
  </si>
  <si>
    <t>09.03.26</t>
  </si>
  <si>
    <t>79</t>
  </si>
  <si>
    <t>22058/26</t>
  </si>
  <si>
    <t>0751 2603 00145</t>
  </si>
  <si>
    <t>27.02.26</t>
  </si>
  <si>
    <t>12.02.26</t>
  </si>
  <si>
    <t>80</t>
  </si>
  <si>
    <t>22070/26</t>
  </si>
  <si>
    <t>0751 2603 00146</t>
  </si>
  <si>
    <t>81</t>
  </si>
  <si>
    <t>22049/26</t>
  </si>
  <si>
    <t>0751 2603 00139</t>
  </si>
  <si>
    <t>82</t>
  </si>
  <si>
    <t>22057/26</t>
  </si>
  <si>
    <t>0751 2603 00140</t>
  </si>
  <si>
    <t>83</t>
  </si>
  <si>
    <t>22021/26</t>
  </si>
  <si>
    <t>2090 2604 0194</t>
  </si>
  <si>
    <t>09.04.26</t>
  </si>
  <si>
    <t>84</t>
  </si>
  <si>
    <t>22029/26 22056/26</t>
  </si>
  <si>
    <t>DBBL CTS MOTIJHEEL BRANCH</t>
  </si>
  <si>
    <t>1690 2604 00066</t>
  </si>
  <si>
    <t>1690</t>
  </si>
  <si>
    <t>19.01.26</t>
  </si>
  <si>
    <t>85</t>
  </si>
  <si>
    <t>22067/26 21759/26</t>
  </si>
  <si>
    <t>0202 2604 00192</t>
  </si>
  <si>
    <t>0202</t>
  </si>
  <si>
    <t>20857/26 20858/26 20859/26 20862/26 20863/26 20864/26</t>
  </si>
  <si>
    <t>3085 2603 00114</t>
  </si>
  <si>
    <t>20890/26</t>
  </si>
  <si>
    <t>3085 2603 00116</t>
  </si>
  <si>
    <t>20886/26</t>
  </si>
  <si>
    <t>3085 2603 00115</t>
  </si>
  <si>
    <t>86</t>
  </si>
  <si>
    <t>22042/26 22043/26 22052/26 22053/26 22054/26</t>
  </si>
  <si>
    <t>3085 2603 00113</t>
  </si>
  <si>
    <t>87</t>
  </si>
  <si>
    <t>22116/26</t>
  </si>
  <si>
    <t>DHAKA BANK PLC. NARAYANGANJ BRANCH</t>
  </si>
  <si>
    <t>1409</t>
  </si>
  <si>
    <t>1409 2604 00029</t>
  </si>
  <si>
    <t>20.01.26</t>
  </si>
  <si>
    <t>0006/26</t>
  </si>
  <si>
    <t>1335 2603 000028</t>
  </si>
  <si>
    <t>20875/26</t>
  </si>
  <si>
    <t>0751 2603 00163</t>
  </si>
  <si>
    <t>88</t>
  </si>
  <si>
    <t>22068/26</t>
  </si>
  <si>
    <t>2971 2604 00186</t>
  </si>
  <si>
    <t>2971</t>
  </si>
  <si>
    <t>22115/26</t>
  </si>
  <si>
    <t>1680 2604 00107</t>
  </si>
  <si>
    <t>22071/26</t>
  </si>
  <si>
    <t>UNITED COMMERCIAL BANK LTD BANGSHAL BRANCH</t>
  </si>
  <si>
    <t>1007 2604 00202</t>
  </si>
  <si>
    <t>1007</t>
  </si>
  <si>
    <t>22092/26</t>
  </si>
  <si>
    <t>1007 2604 00205</t>
  </si>
  <si>
    <t>22081/26</t>
  </si>
  <si>
    <t>DPCBD1169101</t>
  </si>
  <si>
    <t>22118/26</t>
  </si>
  <si>
    <t>1021 2604 00107</t>
  </si>
  <si>
    <t>24.03.26</t>
  </si>
  <si>
    <t>14.03.26</t>
  </si>
  <si>
    <t>22119/26</t>
  </si>
  <si>
    <t>1021 2604 00112</t>
  </si>
  <si>
    <t>22083/26</t>
  </si>
  <si>
    <t>DPCBD1169103</t>
  </si>
  <si>
    <t>22040/26</t>
  </si>
  <si>
    <t>2152260400035</t>
  </si>
  <si>
    <t>22064/26</t>
  </si>
  <si>
    <t>RS COMPOSITE</t>
  </si>
  <si>
    <t xml:space="preserve"> DHAKA BANK PLC., CPC-TRADE OPERATIONS, PURANA PALTAN LANE</t>
  </si>
  <si>
    <t>1409 2604 00028</t>
  </si>
  <si>
    <t>20877/26 20879/26 20880/26 20882/26</t>
  </si>
  <si>
    <t>0751 2603 00171</t>
  </si>
  <si>
    <t>21.01.26</t>
  </si>
  <si>
    <t>20870/26 20871/26</t>
  </si>
  <si>
    <t>3085 2603 00128</t>
  </si>
  <si>
    <t>20878/26</t>
  </si>
  <si>
    <t>2970 2603 00021</t>
  </si>
  <si>
    <t>22099/26</t>
  </si>
  <si>
    <t>2970 2603 00022</t>
  </si>
  <si>
    <t>22094/26 22098/26 22101/26 22102/26</t>
  </si>
  <si>
    <t>0751 2603 00169</t>
  </si>
  <si>
    <t xml:space="preserve">22104/26 22107/26 22108/26 22110/26 </t>
  </si>
  <si>
    <t>0751 2603 00168</t>
  </si>
  <si>
    <t>04.04.26</t>
  </si>
  <si>
    <t>22095/26 22096/26 22100/26 22103/26 22105/26 22109/26</t>
  </si>
  <si>
    <t>2970 2603 00020</t>
  </si>
  <si>
    <t>22120/26 22082/26 22084/26 22085/26 22124/26</t>
  </si>
  <si>
    <t>3085 2603 00127</t>
  </si>
  <si>
    <t>22032/26</t>
  </si>
  <si>
    <t>BBCDAK630081</t>
  </si>
  <si>
    <t>20891/26</t>
  </si>
  <si>
    <t>0751 2603 00180</t>
  </si>
  <si>
    <t>22123/26 22088/26 22089/26 22090/26 22086/26 22122/26</t>
  </si>
  <si>
    <t>3085 2603 00136</t>
  </si>
  <si>
    <t>22.01.26</t>
  </si>
  <si>
    <t>22039/26</t>
  </si>
  <si>
    <t>BBCDAK630089</t>
  </si>
  <si>
    <t>22128/26</t>
  </si>
  <si>
    <t>411012538820-L</t>
  </si>
  <si>
    <t>31.03.26</t>
  </si>
  <si>
    <t>20887/26 20874/26 20873/26 20888/26</t>
  </si>
  <si>
    <t>3085 2603 00135</t>
  </si>
  <si>
    <t>20889/26</t>
  </si>
  <si>
    <t>3085 2603 00133</t>
  </si>
  <si>
    <t>21.03.26</t>
  </si>
  <si>
    <t>22031/26</t>
  </si>
  <si>
    <t>BBCDAK630090</t>
  </si>
  <si>
    <t>22132/26</t>
  </si>
  <si>
    <t>3054 2604 00208</t>
  </si>
  <si>
    <t>20892/26</t>
  </si>
  <si>
    <t>3085 2603 00137</t>
  </si>
  <si>
    <t>18.03.26</t>
  </si>
  <si>
    <t>03.03.26</t>
  </si>
  <si>
    <t>0018/26</t>
  </si>
  <si>
    <t>3085 2603 00138</t>
  </si>
  <si>
    <t>22131/26</t>
  </si>
  <si>
    <t>1416 2604 00307</t>
  </si>
  <si>
    <t>0019/26</t>
  </si>
  <si>
    <t>3085 2603 00145</t>
  </si>
  <si>
    <t>15.04.26</t>
  </si>
  <si>
    <t>20893/26 20894/26 20895/26</t>
  </si>
  <si>
    <t>2970 2603 00023</t>
  </si>
  <si>
    <t>25.01.26</t>
  </si>
  <si>
    <t>22045/26</t>
  </si>
  <si>
    <t>1003 2604 00266</t>
  </si>
  <si>
    <t>UCBL PRICIPAL BRANCH</t>
  </si>
  <si>
    <t>1003</t>
  </si>
  <si>
    <t>22114/26</t>
  </si>
  <si>
    <t>2971 2604 00261</t>
  </si>
  <si>
    <t>111</t>
  </si>
  <si>
    <t>22140/26</t>
  </si>
  <si>
    <t>BBCDAK630099</t>
  </si>
  <si>
    <t>26.01.26</t>
  </si>
  <si>
    <t>0022/26</t>
  </si>
  <si>
    <t>0751 2603 00189</t>
  </si>
  <si>
    <t>22162/26</t>
  </si>
  <si>
    <t>3085 2603 00150</t>
  </si>
  <si>
    <t>20900/26</t>
  </si>
  <si>
    <t>3085 2603 00151</t>
  </si>
  <si>
    <t>20898/26</t>
  </si>
  <si>
    <t>0751 2603 00190</t>
  </si>
  <si>
    <t>BADON FASHION LIMITED</t>
  </si>
  <si>
    <t>22066/26</t>
  </si>
  <si>
    <t>0202 2604 00252</t>
  </si>
  <si>
    <t>15.06.26</t>
  </si>
  <si>
    <t>31.05.26</t>
  </si>
  <si>
    <t>22150/26</t>
  </si>
  <si>
    <t>0196 2604 00055</t>
  </si>
  <si>
    <t>0196</t>
  </si>
  <si>
    <t>PUBALI BANK PLC. BB AVENUE CORPORATE ISLAMIC BANKING BRANCH</t>
  </si>
  <si>
    <t>20896/26</t>
  </si>
  <si>
    <t>DCBD1169853</t>
  </si>
  <si>
    <t>DCBD</t>
  </si>
  <si>
    <t>24.04.26</t>
  </si>
  <si>
    <t>26.03.26</t>
  </si>
  <si>
    <t>20899/26</t>
  </si>
  <si>
    <t>0751 2603 00196</t>
  </si>
  <si>
    <t>22127/26</t>
  </si>
  <si>
    <t>DPCBD1169668</t>
  </si>
  <si>
    <t>22148/26</t>
  </si>
  <si>
    <t>1418 2604 00204</t>
  </si>
  <si>
    <t>1418</t>
  </si>
  <si>
    <t>08.03.26</t>
  </si>
  <si>
    <t>22167/26</t>
  </si>
  <si>
    <t>1475 2603 00203</t>
  </si>
  <si>
    <t>22168/26</t>
  </si>
  <si>
    <t>1475 2603 00204</t>
  </si>
  <si>
    <t>22157/26</t>
  </si>
  <si>
    <t>1555 2604 00289</t>
  </si>
  <si>
    <t>PRIME BANK</t>
  </si>
  <si>
    <t>1555</t>
  </si>
  <si>
    <t>22139/26 22138/26</t>
  </si>
  <si>
    <t>1555 2604 00288</t>
  </si>
  <si>
    <t>22171/26</t>
  </si>
  <si>
    <t>0751 2603 00207</t>
  </si>
  <si>
    <t>22170/26</t>
  </si>
  <si>
    <t>0751 2603 00209</t>
  </si>
  <si>
    <t>22166/26</t>
  </si>
  <si>
    <t>0751 2603 00208</t>
  </si>
  <si>
    <t>20910/26</t>
  </si>
  <si>
    <t>0751 2603 00211</t>
  </si>
  <si>
    <t>23.03.26</t>
  </si>
  <si>
    <t>22193/26</t>
  </si>
  <si>
    <t>0751 2603 00212</t>
  </si>
  <si>
    <t>22192/26</t>
  </si>
  <si>
    <t>0751 2603 00213</t>
  </si>
  <si>
    <t>22194/26</t>
  </si>
  <si>
    <t>0751 2603 00210</t>
  </si>
  <si>
    <t>22173/26</t>
  </si>
  <si>
    <t>1005 2603 00046</t>
  </si>
  <si>
    <t>1005</t>
  </si>
  <si>
    <t>20903/26</t>
  </si>
  <si>
    <t>1475 2603 00228</t>
  </si>
  <si>
    <t>0023/26</t>
  </si>
  <si>
    <t>2970 2603 00025</t>
  </si>
  <si>
    <t>29.01.26</t>
  </si>
  <si>
    <t>22191/26</t>
  </si>
  <si>
    <t>2970 2603 00024</t>
  </si>
  <si>
    <t>22190/26</t>
  </si>
  <si>
    <t>3085 2603 00180</t>
  </si>
  <si>
    <t>22172/26</t>
  </si>
  <si>
    <t>1475 2603 00226</t>
  </si>
  <si>
    <t>21358/26</t>
  </si>
  <si>
    <t>SOORTY ENTERPRISES (PVT) LIMITED.</t>
  </si>
  <si>
    <t>IAP/99/064/44235</t>
  </si>
  <si>
    <t>22152/26</t>
  </si>
  <si>
    <t>2155 2604 00216</t>
  </si>
  <si>
    <t>20.04.26</t>
  </si>
  <si>
    <t>22141/26 22149/26 22161/26</t>
  </si>
  <si>
    <t>1021 2604 00129</t>
  </si>
  <si>
    <t>20905/26 20909/26</t>
  </si>
  <si>
    <t>0751 2603 00220</t>
  </si>
  <si>
    <t>09.05.26</t>
  </si>
  <si>
    <t>20940/26</t>
  </si>
  <si>
    <t>3085 2603 00185</t>
  </si>
  <si>
    <t>22177/26 22188/26</t>
  </si>
  <si>
    <t>0751 2603 00221</t>
  </si>
  <si>
    <t>22200/26</t>
  </si>
  <si>
    <t>0751 2603 00219</t>
  </si>
  <si>
    <t>22178/26</t>
  </si>
  <si>
    <t>3085 2603 00184</t>
  </si>
  <si>
    <t>22199/26</t>
  </si>
  <si>
    <t>3085 2603 00183</t>
  </si>
  <si>
    <t>2971 2604 00377</t>
  </si>
  <si>
    <t>22155/26</t>
  </si>
  <si>
    <t>22159/26</t>
  </si>
  <si>
    <t>411012544626-L</t>
  </si>
  <si>
    <t>28.04.26</t>
  </si>
  <si>
    <t>22147/26</t>
  </si>
  <si>
    <t>2090 2604 0313</t>
  </si>
  <si>
    <t>28.01.26</t>
  </si>
  <si>
    <t>25.04.26</t>
  </si>
  <si>
    <t>10.04.26</t>
  </si>
  <si>
    <t>22195/26</t>
  </si>
  <si>
    <t>FT26033KQ0M4</t>
  </si>
  <si>
    <t>0025/26</t>
  </si>
  <si>
    <t>0751 2603 00235</t>
  </si>
  <si>
    <t>02.02.26</t>
  </si>
  <si>
    <t>22134/26</t>
  </si>
  <si>
    <t>1555 2604 00363</t>
  </si>
  <si>
    <t>22160/26</t>
  </si>
  <si>
    <t>2162 2603 00004</t>
  </si>
  <si>
    <t>20912/26</t>
  </si>
  <si>
    <t>3085 2603 00204</t>
  </si>
  <si>
    <t>16.04.26</t>
  </si>
  <si>
    <t>01.04.26</t>
  </si>
  <si>
    <t>20925/26</t>
  </si>
  <si>
    <t>1475 2603 00272</t>
  </si>
  <si>
    <t>22214/26</t>
  </si>
  <si>
    <t>3085 2603 00200</t>
  </si>
  <si>
    <t>22215/26</t>
  </si>
  <si>
    <t>3085 2603 00198</t>
  </si>
  <si>
    <t>22111/26 22113/26</t>
  </si>
  <si>
    <t>3085 2603 00196</t>
  </si>
  <si>
    <t>22216/26</t>
  </si>
  <si>
    <t>3085 2603 00203</t>
  </si>
  <si>
    <t>22234/26</t>
  </si>
  <si>
    <t>0751 2603 00251</t>
  </si>
  <si>
    <t>22233/26</t>
  </si>
  <si>
    <t>1475 2603 00270</t>
  </si>
  <si>
    <t>0026/26</t>
  </si>
  <si>
    <t>1475 2603 00271</t>
  </si>
  <si>
    <t>22165/26 22164/26</t>
  </si>
  <si>
    <t>DPCBDA031722</t>
  </si>
  <si>
    <t>22235/26</t>
  </si>
  <si>
    <t>1555 2604 00378</t>
  </si>
  <si>
    <t>22236/26</t>
  </si>
  <si>
    <t>1555 2604 00376</t>
  </si>
  <si>
    <t>22237/26</t>
  </si>
  <si>
    <t>1555 2604 00377</t>
  </si>
  <si>
    <t>22232/26</t>
  </si>
  <si>
    <t>0751 2603 00257</t>
  </si>
  <si>
    <t>20924/26</t>
  </si>
  <si>
    <t>0751 2603 00258</t>
  </si>
  <si>
    <t>20926/26</t>
  </si>
  <si>
    <t>0751 2603 00261</t>
  </si>
  <si>
    <t>22238/26</t>
  </si>
  <si>
    <t>0751 2603 00260</t>
  </si>
  <si>
    <t>22163/26</t>
  </si>
  <si>
    <t>2155 2604 00258</t>
  </si>
  <si>
    <t>22189/26</t>
  </si>
  <si>
    <t>1416 2604 00478</t>
  </si>
  <si>
    <t>22268/26</t>
  </si>
  <si>
    <t>0751 2603 00264</t>
  </si>
  <si>
    <t>20913/26 20923/26</t>
  </si>
  <si>
    <t>3085 2603 00217</t>
  </si>
  <si>
    <t>30.04.26</t>
  </si>
  <si>
    <t>20927/26 20939/26</t>
  </si>
  <si>
    <t>0751 2603 00274</t>
  </si>
  <si>
    <t>20955/26</t>
  </si>
  <si>
    <t>2970 2603 00027</t>
  </si>
  <si>
    <t>20953/26</t>
  </si>
  <si>
    <t>0751 2603 00268</t>
  </si>
  <si>
    <t>20951/26</t>
  </si>
  <si>
    <t>2970 2603 00026</t>
  </si>
  <si>
    <t>22278/26</t>
  </si>
  <si>
    <t>0751 2603 00273</t>
  </si>
  <si>
    <t>20954/26</t>
  </si>
  <si>
    <t>3085 2603 00216</t>
  </si>
  <si>
    <t>22276/26</t>
  </si>
  <si>
    <t>2970 2603 00028</t>
  </si>
  <si>
    <t>22218/26 22230/26</t>
  </si>
  <si>
    <t>3085 2603 00218</t>
  </si>
  <si>
    <t>22240/26 22262/26</t>
  </si>
  <si>
    <t>0751 2603 00275</t>
  </si>
  <si>
    <t>22175/26</t>
  </si>
  <si>
    <t>1335 2603 00068</t>
  </si>
  <si>
    <t>22273/26</t>
  </si>
  <si>
    <t>1471 2604 00419</t>
  </si>
  <si>
    <t xml:space="preserve">EBL </t>
  </si>
  <si>
    <t xml:space="preserve"> DHAKA BANK PLC., CPC-TO, PURANA PALTAN LANE</t>
  </si>
  <si>
    <t>Total Value</t>
  </si>
  <si>
    <t>20964/26</t>
  </si>
  <si>
    <t>1475 2603 00329</t>
  </si>
  <si>
    <t>22277/26</t>
  </si>
  <si>
    <t>3085 2603 00219</t>
  </si>
  <si>
    <t>14.04.26</t>
  </si>
  <si>
    <t>30.3.26</t>
  </si>
  <si>
    <t>22305/26</t>
  </si>
  <si>
    <t>0202 2604 00475</t>
  </si>
  <si>
    <t>15.08.26</t>
  </si>
  <si>
    <t>31.07.26</t>
  </si>
  <si>
    <t>22271/26</t>
  </si>
  <si>
    <t>1018 2604 00158</t>
  </si>
  <si>
    <t>1018</t>
  </si>
  <si>
    <t>22137/26 22136/26</t>
  </si>
  <si>
    <t>BBCDAK630141</t>
  </si>
  <si>
    <t>22255/26</t>
  </si>
  <si>
    <t>DPCBD1171027</t>
  </si>
  <si>
    <t>22176/26</t>
  </si>
  <si>
    <t>2967 2603 00076</t>
  </si>
  <si>
    <t>2967</t>
  </si>
  <si>
    <t>22204/26 22158/26 22210/26</t>
  </si>
  <si>
    <t>BBCDAK630157</t>
  </si>
  <si>
    <t>SOUTHERN KNITWEAR LTD.</t>
  </si>
  <si>
    <t>22213/26</t>
  </si>
  <si>
    <t>1559 2604 00107</t>
  </si>
  <si>
    <t xml:space="preserve">PRIME BANK PLC BANANI BRANCH </t>
  </si>
  <si>
    <t>1559</t>
  </si>
  <si>
    <t>20957/26 20960/26 20962/26</t>
  </si>
  <si>
    <t>1475 2603 00343</t>
  </si>
  <si>
    <t>20956/26 20958/26 20959/26 20961/26</t>
  </si>
  <si>
    <t>0751 2603 00299</t>
  </si>
  <si>
    <t>0028/26</t>
  </si>
  <si>
    <t>1475 2603 00342</t>
  </si>
  <si>
    <t>22288/26 22289/26 22290/26</t>
  </si>
  <si>
    <t>1475 2603 00340</t>
  </si>
  <si>
    <t>22281/26 22291/26</t>
  </si>
  <si>
    <t>0751 2603 00298</t>
  </si>
  <si>
    <t>22294/26</t>
  </si>
  <si>
    <t>1475 2603 00341</t>
  </si>
  <si>
    <t>22217/26</t>
  </si>
  <si>
    <t>1021 2604 00233</t>
  </si>
  <si>
    <t>22292/26</t>
  </si>
  <si>
    <t>0751 2604 01563</t>
  </si>
  <si>
    <t>22254/26 22269/26</t>
  </si>
  <si>
    <t>0202 2604 00458</t>
  </si>
  <si>
    <t>08.02.26</t>
  </si>
  <si>
    <t>30.06.26</t>
  </si>
  <si>
    <t>15.07.26</t>
  </si>
  <si>
    <t>22274/26</t>
  </si>
  <si>
    <t>1343 2604 00248</t>
  </si>
  <si>
    <t>1343</t>
  </si>
  <si>
    <t>20966/26</t>
  </si>
  <si>
    <t>0751 2603 00301</t>
  </si>
  <si>
    <t>22311/26</t>
  </si>
  <si>
    <t>2970 2603 00029</t>
  </si>
  <si>
    <t>22196/26</t>
  </si>
  <si>
    <t>1001 2604 00312</t>
  </si>
  <si>
    <t>1001</t>
  </si>
  <si>
    <t>19.04.26</t>
  </si>
  <si>
    <t>04.05.26</t>
  </si>
  <si>
    <t>22275/26</t>
  </si>
  <si>
    <t>LANTABUR APPARELS LIMITED</t>
  </si>
  <si>
    <t>0862 2604 0476</t>
  </si>
  <si>
    <t>0862</t>
  </si>
  <si>
    <t>20969/26</t>
  </si>
  <si>
    <t>3085 2603 00242</t>
  </si>
  <si>
    <t>16.02.26</t>
  </si>
  <si>
    <t>22310/26</t>
  </si>
  <si>
    <t>1475 2603 00358</t>
  </si>
  <si>
    <t>20970/26</t>
  </si>
  <si>
    <t>0751 2603 00307</t>
  </si>
  <si>
    <t>20971/26</t>
  </si>
  <si>
    <t>0751 2603 00306</t>
  </si>
  <si>
    <t>20950/26</t>
  </si>
  <si>
    <t>1475 2604 01702</t>
  </si>
  <si>
    <t>22143/26</t>
  </si>
  <si>
    <t>1877 2604 00152</t>
  </si>
  <si>
    <t>22144/26</t>
  </si>
  <si>
    <t>1877 2604 00148</t>
  </si>
  <si>
    <t>22322/26</t>
  </si>
  <si>
    <t>0751 2603 00311</t>
  </si>
  <si>
    <t>22316/26</t>
  </si>
  <si>
    <t>2970 2603 00030</t>
  </si>
  <si>
    <t>22317/26 22169/26</t>
  </si>
  <si>
    <t>0202 2604 00509</t>
  </si>
  <si>
    <t>22272/26</t>
  </si>
  <si>
    <t>1088 2603 0048</t>
  </si>
  <si>
    <t>20943/26</t>
  </si>
  <si>
    <t>1877 2604 00168</t>
  </si>
  <si>
    <t>AL-ARAFAH ISLAMI BANK LTD. N.GANJ BRANCH</t>
  </si>
  <si>
    <t>22300/26</t>
  </si>
  <si>
    <t>2979 2604 00260</t>
  </si>
  <si>
    <t>22319/26</t>
  </si>
  <si>
    <t>0196 2604 00082</t>
  </si>
  <si>
    <t>17.02.26</t>
  </si>
  <si>
    <t>10.05.26</t>
  </si>
  <si>
    <t>22318/26</t>
  </si>
  <si>
    <t>0196 2604 00083</t>
  </si>
  <si>
    <t>20979/26</t>
  </si>
  <si>
    <t>1475 2603 00372</t>
  </si>
  <si>
    <t>22355/26</t>
  </si>
  <si>
    <t>3085 2603 00253</t>
  </si>
  <si>
    <t>22321/26</t>
  </si>
  <si>
    <t>3085 2603 00254</t>
  </si>
  <si>
    <t>22361/26</t>
  </si>
  <si>
    <t>3085 2603 00259</t>
  </si>
  <si>
    <t>22360/26</t>
  </si>
  <si>
    <t>3085 2603 00258</t>
  </si>
  <si>
    <t>20973/26 20978/26</t>
  </si>
  <si>
    <t>0751 2603 00326</t>
  </si>
  <si>
    <t>22312/26</t>
  </si>
  <si>
    <t>1343 2604 00288</t>
  </si>
  <si>
    <t>22343/26 22352/26</t>
  </si>
  <si>
    <t>0751 2603 00327</t>
  </si>
  <si>
    <t>22334/26 22351/26</t>
  </si>
  <si>
    <t>0751 2603 00328</t>
  </si>
  <si>
    <t>22328/26</t>
  </si>
  <si>
    <t>1471 2604 00525</t>
  </si>
  <si>
    <t>22353/26</t>
  </si>
  <si>
    <t>H.B. Intimates Ltd.</t>
  </si>
  <si>
    <t>1336 2604 00190</t>
  </si>
  <si>
    <t>1336</t>
  </si>
  <si>
    <t>Tex Fabrics</t>
  </si>
  <si>
    <t>22333/26</t>
  </si>
  <si>
    <t>1555 2604 00500</t>
  </si>
  <si>
    <t>22362/26</t>
  </si>
  <si>
    <t>3085 2603 00266</t>
  </si>
  <si>
    <t>20965/26</t>
  </si>
  <si>
    <t>1475 2604 01826</t>
  </si>
  <si>
    <t>20942/26</t>
  </si>
  <si>
    <t>1877 2604 00192</t>
  </si>
  <si>
    <t>22358/26</t>
  </si>
  <si>
    <t>UCBL CORPORATE BRANCH</t>
  </si>
  <si>
    <t>1018 2604 00215</t>
  </si>
  <si>
    <t>22330/26</t>
  </si>
  <si>
    <t>DPCBD1172210</t>
  </si>
  <si>
    <t>15.05.26</t>
  </si>
  <si>
    <t>22154/26</t>
  </si>
  <si>
    <t>2971 2604 00594</t>
  </si>
  <si>
    <t>20985/26</t>
  </si>
  <si>
    <t>3085 2603 00280</t>
  </si>
  <si>
    <t>23.02.26</t>
  </si>
  <si>
    <t>30.04.05</t>
  </si>
  <si>
    <t>22376/26</t>
  </si>
  <si>
    <t>3085 2603 00279</t>
  </si>
  <si>
    <t>20982/26 20984/26</t>
  </si>
  <si>
    <t>3085 2603 00282</t>
  </si>
  <si>
    <t>22373/26</t>
  </si>
  <si>
    <t>1475 25603 00414</t>
  </si>
  <si>
    <t>22375/26</t>
  </si>
  <si>
    <t>3085 2603 00281</t>
  </si>
  <si>
    <t>22062/26</t>
  </si>
  <si>
    <t>1021 2604 00302</t>
  </si>
  <si>
    <t>RADICAL DESIGN LTD.</t>
  </si>
  <si>
    <t>22357/26</t>
  </si>
  <si>
    <t>1680 2604 00295</t>
  </si>
  <si>
    <t>TASNIAH FABRICS LTD.</t>
  </si>
  <si>
    <t>22324/26</t>
  </si>
  <si>
    <t>2363 2604 00338</t>
  </si>
  <si>
    <t>2363</t>
  </si>
  <si>
    <t>02.04.26</t>
  </si>
  <si>
    <t>19.03.26</t>
  </si>
  <si>
    <t>22367/26</t>
  </si>
  <si>
    <t>1007 2604 00463</t>
  </si>
  <si>
    <t>22326/26 22320/26</t>
  </si>
  <si>
    <t>1021 2604 00316</t>
  </si>
  <si>
    <t>22314/26</t>
  </si>
  <si>
    <t>INTERNATIONAL CLASSIC COMPOSITE LTD</t>
  </si>
  <si>
    <t>1416 2604 00627</t>
  </si>
  <si>
    <t>22203/26</t>
  </si>
  <si>
    <t>BBCDAK630169</t>
  </si>
  <si>
    <t>22388/26</t>
  </si>
  <si>
    <t>2970 2603 00031</t>
  </si>
  <si>
    <t>13.04.26</t>
  </si>
  <si>
    <t>20944/26</t>
  </si>
  <si>
    <t>1877 2604 00207</t>
  </si>
  <si>
    <t>22309/26</t>
  </si>
  <si>
    <t>2971 2604 00533</t>
  </si>
  <si>
    <t>22377/26</t>
  </si>
  <si>
    <t>1680 2604 00327</t>
  </si>
  <si>
    <t>22315/26</t>
  </si>
  <si>
    <t>0751 2604 01962</t>
  </si>
  <si>
    <t>29.04.25</t>
  </si>
  <si>
    <t>22366/26</t>
  </si>
  <si>
    <t>1007 2604 00483</t>
  </si>
  <si>
    <t>20983/26</t>
  </si>
  <si>
    <t>2970 2603 00034</t>
  </si>
  <si>
    <t>22370/26</t>
  </si>
  <si>
    <t>2970 2603 00032</t>
  </si>
  <si>
    <t>22369/26 22372/26</t>
  </si>
  <si>
    <t>2970 2603 00033</t>
  </si>
  <si>
    <t>22395/26</t>
  </si>
  <si>
    <t>1475 2603 00451</t>
  </si>
  <si>
    <t>22396/26</t>
  </si>
  <si>
    <t>1475 2603 00449</t>
  </si>
  <si>
    <t>22397/26 22398/26</t>
  </si>
  <si>
    <t>0751 2603 00352</t>
  </si>
  <si>
    <t>22387/26</t>
  </si>
  <si>
    <t>0751 2603 00348</t>
  </si>
  <si>
    <t>22386/26</t>
  </si>
  <si>
    <t>0751 2603 00347</t>
  </si>
  <si>
    <t>22399/26</t>
  </si>
  <si>
    <t>3085 2603 00330</t>
  </si>
  <si>
    <t>21000/26</t>
  </si>
  <si>
    <t>3085 2603 00333</t>
  </si>
  <si>
    <t>22304/26</t>
  </si>
  <si>
    <t>1475 2604 02191</t>
  </si>
  <si>
    <t>22313/26</t>
  </si>
  <si>
    <t>DPCBD1172878</t>
  </si>
  <si>
    <t>22.05.26</t>
  </si>
  <si>
    <t>22.04.26</t>
  </si>
  <si>
    <t>22383/26</t>
  </si>
  <si>
    <t>1003 2603 00054</t>
  </si>
  <si>
    <t>22404/26</t>
  </si>
  <si>
    <t>0751 2603 00359</t>
  </si>
  <si>
    <t>22378/26 22379/26 22380/26</t>
  </si>
  <si>
    <t>NOMAN TEXTILE MILLS LTD.</t>
  </si>
  <si>
    <t>1689 2604 00646</t>
  </si>
  <si>
    <t>1689</t>
  </si>
  <si>
    <t>13.05.26</t>
  </si>
  <si>
    <t>29.04.26</t>
  </si>
  <si>
    <t>20947/26</t>
  </si>
  <si>
    <t>1475 2604 02209</t>
  </si>
  <si>
    <t>20945/26</t>
  </si>
  <si>
    <t>1475 2604 02206</t>
  </si>
  <si>
    <t>22425/26 22426/26</t>
  </si>
  <si>
    <t>0751 260300369</t>
  </si>
  <si>
    <t>05.05.26</t>
  </si>
  <si>
    <t>22429/26</t>
  </si>
  <si>
    <t>2970 2603 00037</t>
  </si>
  <si>
    <t>22414/26</t>
  </si>
  <si>
    <t>3085 2603 00349</t>
  </si>
  <si>
    <t>22416/26 22428/26</t>
  </si>
  <si>
    <t>3085 2603 00352</t>
  </si>
  <si>
    <t>21004/26</t>
  </si>
  <si>
    <t>1475 2604 00483</t>
  </si>
  <si>
    <t>08.04.26</t>
  </si>
  <si>
    <t>21005/26</t>
  </si>
  <si>
    <t>21009/26</t>
  </si>
  <si>
    <t>1475 2603 00484</t>
  </si>
  <si>
    <t>3085 2603 00354</t>
  </si>
  <si>
    <t>21002/26</t>
  </si>
  <si>
    <t>3085 2603 00347</t>
  </si>
  <si>
    <t>21001/26</t>
  </si>
  <si>
    <t>3085 2603 00348</t>
  </si>
  <si>
    <t>21006/26</t>
  </si>
  <si>
    <t>2970 2603 00035</t>
  </si>
  <si>
    <t>21008/26</t>
  </si>
  <si>
    <t>0751 2603 00367</t>
  </si>
  <si>
    <t>22415/26</t>
  </si>
  <si>
    <t>2970 2603 00036</t>
  </si>
  <si>
    <t>22365/26</t>
  </si>
  <si>
    <t>1471 2603 00309</t>
  </si>
  <si>
    <t>AHSAN COMPOSITE LTD.</t>
  </si>
  <si>
    <t>22441/26</t>
  </si>
  <si>
    <t>2970 2604 00138</t>
  </si>
  <si>
    <t>02.03.26</t>
  </si>
  <si>
    <t>22405/26 22412/26</t>
  </si>
  <si>
    <t>1018 2604 00256</t>
  </si>
  <si>
    <t>22390/26 22392/26</t>
  </si>
  <si>
    <t>411012562053-L</t>
  </si>
  <si>
    <t>22264/26</t>
  </si>
  <si>
    <t>1475 2604 02355</t>
  </si>
  <si>
    <t>22434/26</t>
  </si>
  <si>
    <t>1689 2604 00671</t>
  </si>
  <si>
    <t>03.04.26</t>
  </si>
  <si>
    <t>DBBL HEAD OFFICE BRANCH</t>
  </si>
  <si>
    <t>22408/26</t>
  </si>
  <si>
    <t>3085 2603 00363</t>
  </si>
  <si>
    <t>0037/26</t>
  </si>
  <si>
    <t>3085 2603 00364</t>
  </si>
  <si>
    <t>22293/26</t>
  </si>
  <si>
    <t>0751 2603 00375</t>
  </si>
  <si>
    <t>0029/26</t>
  </si>
  <si>
    <t>MIDLAND BANK</t>
  </si>
  <si>
    <t>3355</t>
  </si>
  <si>
    <t>MIDLAND BANK PLC GULSHAN BRANCH</t>
  </si>
  <si>
    <t>3355 2604 00120</t>
  </si>
  <si>
    <t>22308/26</t>
  </si>
  <si>
    <t>1080 2604 00123</t>
  </si>
  <si>
    <t>1080</t>
  </si>
  <si>
    <t>$11,200.00
$3,100.00</t>
  </si>
  <si>
    <t>22446/26</t>
  </si>
  <si>
    <t>3085 2603 00376</t>
  </si>
  <si>
    <t>22445/26</t>
  </si>
  <si>
    <t>3085 2603 00366</t>
  </si>
  <si>
    <t>21011/26</t>
  </si>
  <si>
    <t>2970 2603 00038</t>
  </si>
  <si>
    <t>20989/26 20988/26</t>
  </si>
  <si>
    <t>1689 2604 00722</t>
  </si>
  <si>
    <t>22302/26</t>
  </si>
  <si>
    <t>1475 2604 02439</t>
  </si>
  <si>
    <t>22424/26</t>
  </si>
  <si>
    <t>1007 2604 00541</t>
  </si>
  <si>
    <t>22407/26</t>
  </si>
  <si>
    <t>DPCBD1173137</t>
  </si>
  <si>
    <t>25.05.26</t>
  </si>
  <si>
    <t>22448/26</t>
  </si>
  <si>
    <t>1689 2604 00713</t>
  </si>
  <si>
    <t>22447/26</t>
  </si>
  <si>
    <t>1689 2604 00714</t>
  </si>
  <si>
    <t>22411/26</t>
  </si>
  <si>
    <t>1416 2604 00727</t>
  </si>
  <si>
    <t>22403/26</t>
  </si>
  <si>
    <t>1021 2604 00384</t>
  </si>
  <si>
    <t>04.03.26</t>
  </si>
  <si>
    <t>22439/26</t>
  </si>
  <si>
    <t>0751 2603 00393</t>
  </si>
  <si>
    <t>22402/26</t>
  </si>
  <si>
    <t>1471 2604 00730</t>
  </si>
  <si>
    <t>01.05.26</t>
  </si>
  <si>
    <t>21010/26</t>
  </si>
  <si>
    <t>3085 2603 00377</t>
  </si>
  <si>
    <t>22453/26</t>
  </si>
  <si>
    <t>3085 2603 00381</t>
  </si>
  <si>
    <t>22454/26</t>
  </si>
  <si>
    <t>0751 2603 00399</t>
  </si>
  <si>
    <t>22455/26</t>
  </si>
  <si>
    <t>3085 2603 00382</t>
  </si>
  <si>
    <t>22205/26</t>
  </si>
  <si>
    <t>1555 2604 00687</t>
  </si>
  <si>
    <t>20941/26</t>
  </si>
  <si>
    <t>1877 2604 00241</t>
  </si>
  <si>
    <t>22450/26</t>
  </si>
  <si>
    <t>1555 2604 00386</t>
  </si>
  <si>
    <t>RIPON KNITWEAR LTD.</t>
  </si>
  <si>
    <t>22400/26</t>
  </si>
  <si>
    <t>1343 2603 00164</t>
  </si>
  <si>
    <t>22417/26</t>
  </si>
  <si>
    <t>TOMO00006326096</t>
  </si>
  <si>
    <t>22065/26</t>
  </si>
  <si>
    <t>IAP/99/064/45486</t>
  </si>
  <si>
    <t>22456/26</t>
  </si>
  <si>
    <t>0751 2604 02363</t>
  </si>
  <si>
    <t>22457/26</t>
  </si>
  <si>
    <t>0751 2604 02362</t>
  </si>
  <si>
    <t>22413/26</t>
  </si>
  <si>
    <t>DPCBD1173323</t>
  </si>
  <si>
    <t>22452/26</t>
  </si>
  <si>
    <t>1475 2603 00519</t>
  </si>
  <si>
    <t>22451/26</t>
  </si>
  <si>
    <t>1475 2603 00520</t>
  </si>
  <si>
    <t>22460/26</t>
  </si>
  <si>
    <t>0751 2603 00415</t>
  </si>
  <si>
    <t>22465/26</t>
  </si>
  <si>
    <t>0751 2603 00414</t>
  </si>
  <si>
    <t>22461/26</t>
  </si>
  <si>
    <t>2970 2603 00039</t>
  </si>
  <si>
    <t>22438/26</t>
  </si>
  <si>
    <t>0751 2603 00406</t>
  </si>
  <si>
    <t>22462/26</t>
  </si>
  <si>
    <t>3085 2603 00387</t>
  </si>
  <si>
    <t>21014/26</t>
  </si>
  <si>
    <t>3085 2603 00388</t>
  </si>
  <si>
    <t>23.04.26</t>
  </si>
  <si>
    <t>22442/26</t>
  </si>
  <si>
    <t>0202 2604 00834</t>
  </si>
  <si>
    <t>FABRICA KNIT COMPOSITE LTD.</t>
  </si>
  <si>
    <t>NCC BANK PLC GULSHAN BRANCH</t>
  </si>
  <si>
    <t>1618</t>
  </si>
  <si>
    <t>22479/26 22480/26 22481/26 22482/26</t>
  </si>
  <si>
    <t>1618 2604 00483</t>
  </si>
  <si>
    <t>05.06.26</t>
  </si>
  <si>
    <t>22469/26 22463/26</t>
  </si>
  <si>
    <t>1021 2604 00425</t>
  </si>
  <si>
    <t>11.05.26</t>
  </si>
  <si>
    <t>22427/26</t>
  </si>
  <si>
    <t>BBCDAK630185</t>
  </si>
  <si>
    <t>22474/26</t>
  </si>
  <si>
    <t>1555 2604 00767</t>
  </si>
  <si>
    <t>22497/26</t>
  </si>
  <si>
    <t>3085 2603 00394</t>
  </si>
  <si>
    <t>22506/26</t>
  </si>
  <si>
    <t>3085 2603 00399</t>
  </si>
  <si>
    <t>22495/26</t>
  </si>
  <si>
    <t>3085 2603 00400</t>
  </si>
  <si>
    <t>22494/26 22493/26</t>
  </si>
  <si>
    <t>3085 2603 00401</t>
  </si>
  <si>
    <t>22492/26</t>
  </si>
  <si>
    <t>0751 2603 00436</t>
  </si>
  <si>
    <t>22504/26</t>
  </si>
  <si>
    <t>0751 2603 00437</t>
  </si>
  <si>
    <t>22464/26</t>
  </si>
  <si>
    <t>0751 2603 00442</t>
  </si>
  <si>
    <t>22491/26</t>
  </si>
  <si>
    <t>1475 2603 00540</t>
  </si>
  <si>
    <t>22507/26</t>
  </si>
  <si>
    <t>3085 2603 00398</t>
  </si>
  <si>
    <t>22496/26</t>
  </si>
  <si>
    <t>3085 2603 00396</t>
  </si>
  <si>
    <t>21019/26</t>
  </si>
  <si>
    <t>3085 2603 00395</t>
  </si>
  <si>
    <t>21017/26</t>
  </si>
  <si>
    <t>2970 2603 00040</t>
  </si>
  <si>
    <t>21018/26</t>
  </si>
  <si>
    <t>0751 2603 00438</t>
  </si>
  <si>
    <t>21015/26</t>
  </si>
  <si>
    <t>0751 2603 00434</t>
  </si>
  <si>
    <t>21022/26</t>
  </si>
  <si>
    <t>3085 2603 00397</t>
  </si>
  <si>
    <t>0038/26</t>
  </si>
  <si>
    <t>0751 2603 00439</t>
  </si>
  <si>
    <t>20948/26</t>
  </si>
  <si>
    <t>1475 2604 02619</t>
  </si>
  <si>
    <t>31.3.26</t>
  </si>
  <si>
    <t>22466/26 22471/26 22472/26</t>
  </si>
  <si>
    <t>DPCBD1173930</t>
  </si>
  <si>
    <t>21.05.26</t>
  </si>
  <si>
    <t>22458/26</t>
  </si>
  <si>
    <t>1343 2604 00419</t>
  </si>
  <si>
    <t>22505/26</t>
  </si>
  <si>
    <t>3035 2604 00334</t>
  </si>
  <si>
    <t>3035</t>
  </si>
  <si>
    <t>22509/26 22510/26 22478/26</t>
  </si>
  <si>
    <t>1018 2604 00299</t>
  </si>
  <si>
    <t>22503/26</t>
  </si>
  <si>
    <t>0751 2603 00468</t>
  </si>
  <si>
    <t>22483/26 22484/26 22485/26 22486/26</t>
  </si>
  <si>
    <t>JAMUNA BANK BANANI BRANCH.</t>
  </si>
  <si>
    <t>3053 2604 00425</t>
  </si>
  <si>
    <t>3053</t>
  </si>
  <si>
    <t>20.05.26</t>
  </si>
  <si>
    <t>22487/26 22488/26 22489/26 22490/26</t>
  </si>
  <si>
    <t>1618 2604 00508</t>
  </si>
  <si>
    <t>20994/26</t>
  </si>
  <si>
    <t>DBBL GULSHAN BRANCH</t>
  </si>
  <si>
    <t>1689 2604 00858</t>
  </si>
  <si>
    <t>0031/26</t>
  </si>
  <si>
    <t>0001 2604 00343</t>
  </si>
  <si>
    <t>0001</t>
  </si>
  <si>
    <t>29.03.26</t>
  </si>
  <si>
    <t>0034/26</t>
  </si>
  <si>
    <t>0001 2604 00345</t>
  </si>
  <si>
    <t>0033/26</t>
  </si>
  <si>
    <t>0001 2604 00341</t>
  </si>
  <si>
    <t>22528/26</t>
  </si>
  <si>
    <t>2970 2603 00041</t>
  </si>
  <si>
    <t>21024/26</t>
  </si>
  <si>
    <t>0751 2603 00465</t>
  </si>
  <si>
    <t>03.05.26</t>
  </si>
  <si>
    <t>18.04.26</t>
  </si>
  <si>
    <t>22475/26</t>
  </si>
  <si>
    <t>1343 2603 00190</t>
  </si>
  <si>
    <t>22420/26 22419/26</t>
  </si>
  <si>
    <t>1555 2604 00810</t>
  </si>
  <si>
    <t>22468/26</t>
  </si>
  <si>
    <t>1007 2604 00654</t>
  </si>
  <si>
    <t>22470/26</t>
  </si>
  <si>
    <t>DPCBD1174295</t>
  </si>
  <si>
    <t>30.05.26</t>
  </si>
  <si>
    <t>22473/26</t>
  </si>
  <si>
    <t>SOUTHEAST BANK LTD. MOTIJHEEL ISLAMIN BRANCH</t>
  </si>
  <si>
    <t>1349 2603 00038</t>
  </si>
  <si>
    <t>1349</t>
  </si>
  <si>
    <t>22532/26</t>
  </si>
  <si>
    <t>0751 2603 00473</t>
  </si>
  <si>
    <t>22517/26</t>
  </si>
  <si>
    <t>22525/26</t>
  </si>
  <si>
    <t>0201 2604 00996</t>
  </si>
  <si>
    <t>22529/26</t>
  </si>
  <si>
    <t>0751 2603 00482</t>
  </si>
  <si>
    <t>1689 2604 00860</t>
  </si>
  <si>
    <t>22502/26</t>
  </si>
  <si>
    <t>1471 2604 00828</t>
  </si>
  <si>
    <t>21030/26</t>
  </si>
  <si>
    <t>0751 2603 00487</t>
  </si>
  <si>
    <t>21028/26</t>
  </si>
  <si>
    <t>2970 260300042</t>
  </si>
  <si>
    <t>21027/26</t>
  </si>
  <si>
    <t>3085 2603 00421</t>
  </si>
  <si>
    <t>22501/26</t>
  </si>
  <si>
    <t>0202 2604 00914</t>
  </si>
  <si>
    <t>22535/26</t>
  </si>
  <si>
    <t>1680 260400512</t>
  </si>
  <si>
    <t>22530/26</t>
  </si>
  <si>
    <t>2228 2604 02314</t>
  </si>
  <si>
    <t>MUTUAL TRUST BANK</t>
  </si>
  <si>
    <t>2228</t>
  </si>
  <si>
    <t>22518/26</t>
  </si>
  <si>
    <t>1416 2604 00933</t>
  </si>
  <si>
    <t>22522/26 22523/26</t>
  </si>
  <si>
    <t>1007 2604 00681</t>
  </si>
  <si>
    <t>22307/26</t>
  </si>
  <si>
    <t>1475 2604 02944</t>
  </si>
  <si>
    <t>20949/26</t>
  </si>
  <si>
    <t>1689 2604 00906</t>
  </si>
  <si>
    <t>1689 2604 00910</t>
  </si>
  <si>
    <t>22301/26</t>
  </si>
  <si>
    <t>20991/26</t>
  </si>
  <si>
    <t>1689 2604 00911</t>
  </si>
  <si>
    <t>20963/26</t>
  </si>
  <si>
    <t>1689 2604 00907</t>
  </si>
  <si>
    <t>20946/26</t>
  </si>
  <si>
    <t>1689 2604 00913</t>
  </si>
  <si>
    <t>1689 2604 00933</t>
  </si>
  <si>
    <t>22500/26</t>
  </si>
  <si>
    <t>1555 2603 00437</t>
  </si>
  <si>
    <t>22135/26</t>
  </si>
  <si>
    <t>BBCDAK630215</t>
  </si>
  <si>
    <t>22514/26</t>
  </si>
  <si>
    <t>BBCDAK630220</t>
  </si>
  <si>
    <t>22443/26</t>
  </si>
  <si>
    <t>BBCDAK630197</t>
  </si>
  <si>
    <t>22467/26</t>
  </si>
  <si>
    <t>2228 2604 02295</t>
  </si>
  <si>
    <t>21032/26</t>
  </si>
  <si>
    <t>3085 2603 00432</t>
  </si>
  <si>
    <t>22543/26</t>
  </si>
  <si>
    <t>3085 2603 00431</t>
  </si>
  <si>
    <t>22423/26</t>
  </si>
  <si>
    <t>1555 2604 00856</t>
  </si>
  <si>
    <t>22554/26</t>
  </si>
  <si>
    <t>0751 2603 00497</t>
  </si>
  <si>
    <t>22552/26</t>
  </si>
  <si>
    <t>1475 2603 00670</t>
  </si>
  <si>
    <t>22553/26</t>
  </si>
  <si>
    <t>1475 2603 00671</t>
  </si>
  <si>
    <t>21031/26</t>
  </si>
  <si>
    <t>1475 2603 00657</t>
  </si>
  <si>
    <t>21033/26</t>
  </si>
  <si>
    <t>1475 2603 00669</t>
  </si>
  <si>
    <t>22533/26 22538/26</t>
  </si>
  <si>
    <t>0216 2604 00770</t>
  </si>
  <si>
    <t>0216</t>
  </si>
  <si>
    <t>25.06.26</t>
  </si>
  <si>
    <t>15.06.25</t>
  </si>
  <si>
    <t>COTTON CLOUT (BD) LTD.</t>
  </si>
  <si>
    <t>22540/26</t>
  </si>
  <si>
    <t>DPCBD1174964</t>
  </si>
  <si>
    <t>22.06.26</t>
  </si>
  <si>
    <t>01.06.26</t>
  </si>
  <si>
    <t>22542/26</t>
  </si>
  <si>
    <t>1680 2604 00532</t>
  </si>
  <si>
    <t>22562/26</t>
  </si>
  <si>
    <t>0751 2603 00511</t>
  </si>
  <si>
    <t>14.05.26</t>
  </si>
  <si>
    <t>22569/26</t>
  </si>
  <si>
    <t>1471 2603 00439</t>
  </si>
  <si>
    <t>$15250 $22500</t>
  </si>
  <si>
    <t>22401/26</t>
  </si>
  <si>
    <t>1086 2603 0024</t>
  </si>
  <si>
    <t>1086</t>
  </si>
  <si>
    <t>KAIZER KNITWEARS LTD.</t>
  </si>
  <si>
    <t>22545/26 22545/26</t>
  </si>
  <si>
    <t>SOUTHEAST BANK LTD. NEW ESKATON BRANCH</t>
  </si>
  <si>
    <t>1347 2604 00366</t>
  </si>
  <si>
    <t>1347</t>
  </si>
  <si>
    <t>22574/26</t>
  </si>
  <si>
    <t>0751 2603 00517</t>
  </si>
  <si>
    <t>22572/26</t>
  </si>
  <si>
    <t>0751 2603 00519</t>
  </si>
  <si>
    <t>22573/26</t>
  </si>
  <si>
    <t>1475 2603 00696</t>
  </si>
  <si>
    <t>21038/26</t>
  </si>
  <si>
    <t>1475 2603 00697</t>
  </si>
  <si>
    <t>22561/26</t>
  </si>
  <si>
    <t>1007 2604 00752</t>
  </si>
  <si>
    <t>22544/26</t>
  </si>
  <si>
    <t>2162 2604 00634</t>
  </si>
  <si>
    <t>22568/26</t>
  </si>
  <si>
    <t>1349 2603 00044</t>
  </si>
  <si>
    <t>0751 2604 02658</t>
  </si>
  <si>
    <t>21037/26</t>
  </si>
  <si>
    <t>1475 2603 00702</t>
  </si>
  <si>
    <t>22567/26</t>
  </si>
  <si>
    <t>DPCBD1175423</t>
  </si>
  <si>
    <t>29.06.26</t>
  </si>
  <si>
    <t>22516/26</t>
  </si>
  <si>
    <t>BBCDAK630249</t>
  </si>
  <si>
    <t>10.06.26</t>
  </si>
  <si>
    <t>26.05.26</t>
  </si>
  <si>
    <t>21040/26</t>
  </si>
  <si>
    <t>0751 2603 00529</t>
  </si>
  <si>
    <t>22601/26</t>
  </si>
  <si>
    <t>0751 2603 00530</t>
  </si>
  <si>
    <t>22201/26 22208/26 22209/26</t>
  </si>
  <si>
    <t>BBCDAK630188</t>
  </si>
  <si>
    <t>0036/26</t>
  </si>
  <si>
    <t>0001 2604 00445</t>
  </si>
  <si>
    <t>0035/26</t>
  </si>
  <si>
    <t>0001 2604 00444</t>
  </si>
  <si>
    <t>22548/26 22549/26</t>
  </si>
  <si>
    <t>1027 2604 00729</t>
  </si>
  <si>
    <t>1027</t>
  </si>
  <si>
    <t>22578/26</t>
  </si>
  <si>
    <t>1027 2604 00739</t>
  </si>
  <si>
    <t>22547/26</t>
  </si>
  <si>
    <t>2228 2604 02485</t>
  </si>
  <si>
    <t>22602/26</t>
  </si>
  <si>
    <t>1475 2603 00706</t>
  </si>
  <si>
    <t>22598/26</t>
  </si>
  <si>
    <t>1475 2603 00705</t>
  </si>
  <si>
    <t>22599/26 22600/26</t>
  </si>
  <si>
    <t>1475 2603 00707</t>
  </si>
  <si>
    <t>22537/26</t>
  </si>
  <si>
    <t>SOCIAL ISLAMI BANK PLC. DILKUSHA BRANCH</t>
  </si>
  <si>
    <t>SOIV2603160442230</t>
  </si>
  <si>
    <t>22605/26</t>
  </si>
  <si>
    <t>3085 2603 00456</t>
  </si>
  <si>
    <t>22600/26</t>
  </si>
  <si>
    <t>3085 2603 00455</t>
  </si>
  <si>
    <t>21043/26</t>
  </si>
  <si>
    <t>3085 2603 00457</t>
  </si>
  <si>
    <t>SR APPARELS</t>
  </si>
  <si>
    <t>22615/26</t>
  </si>
  <si>
    <t>0202 2604 01023</t>
  </si>
  <si>
    <t>22604/26</t>
  </si>
  <si>
    <t>0751 2603 00534</t>
  </si>
  <si>
    <t>21041/26</t>
  </si>
  <si>
    <t>1475  2603 00708</t>
  </si>
  <si>
    <t>22550/26 22551/26</t>
  </si>
  <si>
    <t>1080 2604 00207</t>
  </si>
  <si>
    <t>21042/26</t>
  </si>
  <si>
    <t>3085 2603 00459</t>
  </si>
  <si>
    <t>21039/26</t>
  </si>
  <si>
    <t>2970 2603 00043</t>
  </si>
  <si>
    <t>22381/26 22382/26</t>
  </si>
  <si>
    <t>1689 2604 01099</t>
  </si>
  <si>
    <t>22459/26</t>
  </si>
  <si>
    <t>2090 2604 0800</t>
  </si>
  <si>
    <t>22628/26 22627/26 22626/26 22625/26</t>
  </si>
  <si>
    <t>0033 2604 00173</t>
  </si>
  <si>
    <t>20.06.26</t>
  </si>
  <si>
    <t>22611/26 22613/26 22610/26</t>
  </si>
  <si>
    <t>1877 2604 00336</t>
  </si>
  <si>
    <t>22585/26 22596/26</t>
  </si>
  <si>
    <t>3053 2604 00504</t>
  </si>
  <si>
    <t>22620/26</t>
  </si>
  <si>
    <t>0751 2603 00539</t>
  </si>
  <si>
    <t>22630/26</t>
  </si>
  <si>
    <t>0751 2603 00545</t>
  </si>
  <si>
    <t>0043/26</t>
  </si>
  <si>
    <t>0751 2603 00544</t>
  </si>
  <si>
    <t>AL MAMUN FASHION &amp; DESIGN LTD.</t>
  </si>
  <si>
    <t>22629/26</t>
  </si>
  <si>
    <t>0108  2603 00009</t>
  </si>
  <si>
    <t>PREMIER BANK LTD. UTTARA BRANCH</t>
  </si>
  <si>
    <t>2159</t>
  </si>
  <si>
    <t>22619/26</t>
  </si>
  <si>
    <t>2159 2604 00433</t>
  </si>
  <si>
    <t>22643/26</t>
  </si>
  <si>
    <t>1555 2604 00955</t>
  </si>
  <si>
    <t>21046/26</t>
  </si>
  <si>
    <t>1007 2604 00789</t>
  </si>
  <si>
    <t>22526/26 22524/26</t>
  </si>
  <si>
    <t>0201 2604 01160</t>
  </si>
  <si>
    <t>22648/26</t>
  </si>
  <si>
    <t>ASTRO KNITWEAR LTD.</t>
  </si>
  <si>
    <t>PUBALI BANK PLC. KAWRANBAZAR BRANCH</t>
  </si>
  <si>
    <t>0215 2604 00785</t>
  </si>
  <si>
    <t>0215</t>
  </si>
  <si>
    <t>22421/26</t>
  </si>
  <si>
    <t>1555 2604 00957</t>
  </si>
  <si>
    <t>22541/26</t>
  </si>
  <si>
    <t>3085 2604 02600</t>
  </si>
  <si>
    <t>10.06.25</t>
  </si>
  <si>
    <t>22642/26</t>
  </si>
  <si>
    <t>0202 2604 01053</t>
  </si>
  <si>
    <t>15.09.26</t>
  </si>
  <si>
    <t>31.08.26</t>
  </si>
  <si>
    <t>21047/26</t>
  </si>
  <si>
    <t>1475 2603 00741</t>
  </si>
  <si>
    <t>07.05.26</t>
  </si>
  <si>
    <t>22645/26</t>
  </si>
  <si>
    <t>1475 2603 00740</t>
  </si>
  <si>
    <t>22603/26</t>
  </si>
  <si>
    <t>1475 2603 00736</t>
  </si>
  <si>
    <t>22597/26</t>
  </si>
  <si>
    <t>BBCDAK630287</t>
  </si>
  <si>
    <t>22616/26</t>
  </si>
  <si>
    <t>0202 2604 01039</t>
  </si>
  <si>
    <t>22623/26</t>
  </si>
  <si>
    <t>0202 2604 01042</t>
  </si>
  <si>
    <t>22563/26</t>
  </si>
  <si>
    <t>0751 2603 00548</t>
  </si>
  <si>
    <t>22577/26</t>
  </si>
  <si>
    <t>3035 2604 00412</t>
  </si>
  <si>
    <t>21051/26</t>
  </si>
  <si>
    <t>0751 2603 00562</t>
  </si>
  <si>
    <t>19.05.26</t>
  </si>
  <si>
    <t>22683/26</t>
  </si>
  <si>
    <t>0751 2603 00563</t>
  </si>
  <si>
    <t>23.05.26</t>
  </si>
  <si>
    <t>08.05.26</t>
  </si>
  <si>
    <t>22654/26</t>
  </si>
  <si>
    <t>0751 2603 00560</t>
  </si>
  <si>
    <t>22682/26</t>
  </si>
  <si>
    <t>0751 2603 00564</t>
  </si>
  <si>
    <t>22655/26</t>
  </si>
  <si>
    <t>2970 2603 00044</t>
  </si>
  <si>
    <t>02.05.26</t>
  </si>
  <si>
    <t>17.04.26</t>
  </si>
  <si>
    <t>20990/26</t>
  </si>
  <si>
    <t>1689 2604 01114</t>
  </si>
  <si>
    <t>22698/26</t>
  </si>
  <si>
    <t>1475 2603 00772</t>
  </si>
  <si>
    <t>28.05.26</t>
  </si>
  <si>
    <t>22692/26</t>
  </si>
  <si>
    <t>1471 2604 01020</t>
  </si>
  <si>
    <t>16.06.26</t>
  </si>
  <si>
    <t>22652/26</t>
  </si>
  <si>
    <t>1416 2604 01083</t>
  </si>
  <si>
    <t>22581/26</t>
  </si>
  <si>
    <t>0751 2603 00577</t>
  </si>
  <si>
    <t>22670/26</t>
  </si>
  <si>
    <t>1680 2604 00590</t>
  </si>
  <si>
    <t>17.05.26</t>
  </si>
  <si>
    <t>22704/26</t>
  </si>
  <si>
    <t>0751 2603 00576</t>
  </si>
  <si>
    <t>29.05.26</t>
  </si>
  <si>
    <t>22699/26</t>
  </si>
  <si>
    <t>3085 2603 00482</t>
  </si>
  <si>
    <t>21050/26</t>
  </si>
  <si>
    <t>1475 2603 00778</t>
  </si>
  <si>
    <t>22570/26</t>
  </si>
  <si>
    <t>NZ/TEX/260316269/22570</t>
  </si>
  <si>
    <t>21052/26</t>
  </si>
  <si>
    <t>1007 2604 00832</t>
  </si>
  <si>
    <t>21053/26</t>
  </si>
  <si>
    <t>1007 2604 00839</t>
  </si>
  <si>
    <t>22658/26</t>
  </si>
  <si>
    <t>1007 2604 00824</t>
  </si>
  <si>
    <t>22659/26</t>
  </si>
  <si>
    <t>1007 2604 00833</t>
  </si>
  <si>
    <t>22664/26</t>
  </si>
  <si>
    <t>1007 2604 00836</t>
  </si>
  <si>
    <t>22663/26</t>
  </si>
  <si>
    <t>1007 2604 00837</t>
  </si>
  <si>
    <t>22660/26</t>
  </si>
  <si>
    <t>1007 2604 00823</t>
  </si>
  <si>
    <t>22702/26</t>
  </si>
  <si>
    <t>3085 2603 00486</t>
  </si>
  <si>
    <t>22677/26 22676/26 22678/26 22679/26</t>
  </si>
  <si>
    <t>1680 2604 00594</t>
  </si>
  <si>
    <t>22696/26</t>
  </si>
  <si>
    <t>0216 2604 00914</t>
  </si>
  <si>
    <t>S AND P BANGLA LIMITED</t>
  </si>
  <si>
    <t>22711/26 22712/26</t>
  </si>
  <si>
    <t>2363 2604 00591</t>
  </si>
  <si>
    <t>22669/26</t>
  </si>
  <si>
    <t>2971 2604 01074</t>
  </si>
  <si>
    <t>22667/26</t>
  </si>
  <si>
    <t>2971 2604 01046</t>
  </si>
  <si>
    <t>22668/26</t>
  </si>
  <si>
    <t>2971 2604 01042</t>
  </si>
  <si>
    <t>22666/26</t>
  </si>
  <si>
    <t>2971 2604 01045</t>
  </si>
  <si>
    <t>22661/26</t>
  </si>
  <si>
    <t>1007 2604 00853</t>
  </si>
  <si>
    <t>22662/26</t>
  </si>
  <si>
    <t>1007 2604 00852</t>
  </si>
  <si>
    <t>22665/26</t>
  </si>
  <si>
    <t>1007 2604 00861</t>
  </si>
  <si>
    <t>SAMSONS KNIT WEAR INDS. LTD.</t>
  </si>
  <si>
    <t>22650/26</t>
  </si>
  <si>
    <t>Mr. Shahbuddin</t>
  </si>
  <si>
    <t>2655 2604 0167</t>
  </si>
  <si>
    <t>21055/26</t>
  </si>
  <si>
    <t>3085 2603 00488</t>
  </si>
  <si>
    <t>22671/26 22672/26</t>
  </si>
  <si>
    <t>1680 2604 00595</t>
  </si>
  <si>
    <t>22647/26</t>
  </si>
  <si>
    <t>0751 2604 03246</t>
  </si>
  <si>
    <t>09.06.26</t>
  </si>
  <si>
    <t>22622/26</t>
  </si>
  <si>
    <t>1018 2604 00413</t>
  </si>
  <si>
    <t>22617/26</t>
  </si>
  <si>
    <t>2150 2604 00511</t>
  </si>
  <si>
    <t>2150</t>
  </si>
  <si>
    <t>03.07.26</t>
  </si>
  <si>
    <t>18.06.26</t>
  </si>
  <si>
    <t>0045/26</t>
  </si>
  <si>
    <t>0887 2604 0143</t>
  </si>
  <si>
    <t>07.04.26</t>
  </si>
  <si>
    <t>22649/26</t>
  </si>
  <si>
    <t>2228 2604 02823</t>
  </si>
  <si>
    <t>22638/26</t>
  </si>
  <si>
    <t>1555 2604 01023</t>
  </si>
  <si>
    <t>22689/26</t>
  </si>
  <si>
    <t>KNIT GARDEN (PVT) LTD.</t>
  </si>
  <si>
    <t>0202 2604 01097</t>
  </si>
  <si>
    <t>22688/26</t>
  </si>
  <si>
    <t>0202 2604 01098</t>
  </si>
  <si>
    <t>22697/26</t>
  </si>
  <si>
    <t>0665 2604 00073</t>
  </si>
  <si>
    <t>AB BANK</t>
  </si>
  <si>
    <t>0665</t>
  </si>
  <si>
    <t>22721/26</t>
  </si>
  <si>
    <t>0751 2603 00589</t>
  </si>
  <si>
    <t>22720/26</t>
  </si>
  <si>
    <t>2970 2603 00045</t>
  </si>
  <si>
    <t>22675/26</t>
  </si>
  <si>
    <t>0202 2604 01131</t>
  </si>
  <si>
    <t>25.11.26</t>
  </si>
  <si>
    <t>10.11.26</t>
  </si>
  <si>
    <t>22674/26</t>
  </si>
  <si>
    <t>0202 2604 01130</t>
  </si>
  <si>
    <t>22673/26</t>
  </si>
  <si>
    <t>0202 2604 01129</t>
  </si>
  <si>
    <t>22714/26</t>
  </si>
  <si>
    <t>3054 2604 00744</t>
  </si>
  <si>
    <t>22690/26</t>
  </si>
  <si>
    <t>3054 2604 00745</t>
  </si>
  <si>
    <t>22708/26</t>
  </si>
  <si>
    <t>1007 2604 00887</t>
  </si>
  <si>
    <t>22709/26</t>
  </si>
  <si>
    <t>1007 2604 00885</t>
  </si>
  <si>
    <t>22710/26</t>
  </si>
  <si>
    <t>1007 2604 00883</t>
  </si>
  <si>
    <t>22691/26</t>
  </si>
  <si>
    <t>1346 2604 00311</t>
  </si>
  <si>
    <t>22731/26</t>
  </si>
  <si>
    <t>2363 2604 00603</t>
  </si>
  <si>
    <t>22736/26</t>
  </si>
  <si>
    <t>2970 2603 00046</t>
  </si>
  <si>
    <t>22741/26</t>
  </si>
  <si>
    <t>1475 2603 00844</t>
  </si>
  <si>
    <t>22740/26</t>
  </si>
  <si>
    <t>1475 2603 00845</t>
  </si>
  <si>
    <t>21062/26</t>
  </si>
  <si>
    <t>1475 2603 00841</t>
  </si>
  <si>
    <t>22560/26 22559/26</t>
  </si>
  <si>
    <t>2155 2604 00590</t>
  </si>
  <si>
    <t>22639/26</t>
  </si>
  <si>
    <t>2228 2604 02787</t>
  </si>
  <si>
    <t>06.04.26</t>
  </si>
  <si>
    <t>20987/26</t>
  </si>
  <si>
    <t>1689 2604 01151</t>
  </si>
  <si>
    <t>22744/26</t>
  </si>
  <si>
    <t>1349 2604 00368</t>
  </si>
  <si>
    <t>22762/26</t>
  </si>
  <si>
    <t>1349 2604 00369</t>
  </si>
  <si>
    <t>22746/26</t>
  </si>
  <si>
    <t>1349 2604 00375</t>
  </si>
  <si>
    <t>22764/26</t>
  </si>
  <si>
    <t>3085 2603 00517</t>
  </si>
  <si>
    <t>21069/26</t>
  </si>
  <si>
    <t>3085 2603 00519</t>
  </si>
  <si>
    <t>22580/26 22579/26</t>
  </si>
  <si>
    <t>2155 2604 00641</t>
  </si>
  <si>
    <t>22728/26</t>
  </si>
  <si>
    <t>3053 2604 00581</t>
  </si>
  <si>
    <t>21067/26</t>
  </si>
  <si>
    <t>0751 2603 00609</t>
  </si>
  <si>
    <t>21068/26</t>
  </si>
  <si>
    <t>0751 2603 00610</t>
  </si>
  <si>
    <t>21065/26</t>
  </si>
  <si>
    <t>2970 2603 00048</t>
  </si>
  <si>
    <t>21064/26</t>
  </si>
  <si>
    <t>2970 2603 00047</t>
  </si>
  <si>
    <t>22729/26</t>
  </si>
  <si>
    <t>0751 2603 00606</t>
  </si>
  <si>
    <t>22739/26</t>
  </si>
  <si>
    <t>1475 2603 00851</t>
  </si>
  <si>
    <t>22756/26</t>
  </si>
  <si>
    <t>0751 2603 00611</t>
  </si>
  <si>
    <t>22735/26</t>
  </si>
  <si>
    <t>2970 2603 00049</t>
  </si>
  <si>
    <t>22755/26</t>
  </si>
  <si>
    <t>0751 2603 00608</t>
  </si>
  <si>
    <t>22719/26</t>
  </si>
  <si>
    <t>22584/26</t>
  </si>
  <si>
    <t>1555 2603 00528</t>
  </si>
  <si>
    <t>22681/26</t>
  </si>
  <si>
    <t>0201 2604 01314</t>
  </si>
  <si>
    <t>22583/26 22582/26</t>
  </si>
  <si>
    <t>BBCDAK630293</t>
  </si>
  <si>
    <t>22206/26</t>
  </si>
  <si>
    <t>BBCDAK630274</t>
  </si>
  <si>
    <t>22527/26</t>
  </si>
  <si>
    <t>0201 2604 01262</t>
  </si>
  <si>
    <t>22745/26</t>
  </si>
  <si>
    <t>AGRANI BANK PLC CORPORATE MOTIJHEEL BRANCH</t>
  </si>
  <si>
    <t>0033 2604 00192</t>
  </si>
  <si>
    <t>22723/26</t>
  </si>
  <si>
    <t>SHAHJALAL ISLAMI BANK LTD. GULSHAN HUB BRANCH</t>
  </si>
  <si>
    <t>2966 2604 00473</t>
  </si>
  <si>
    <t>2966</t>
  </si>
  <si>
    <t>22724/26</t>
  </si>
  <si>
    <t>PREMIER BANK LTD. GULSHAN BRANCH</t>
  </si>
  <si>
    <t>2149 2604 00811</t>
  </si>
  <si>
    <t>2149</t>
  </si>
  <si>
    <t>22715/26</t>
  </si>
  <si>
    <t>1551 2604 00189</t>
  </si>
  <si>
    <t>1551</t>
  </si>
  <si>
    <t>22730/26</t>
  </si>
  <si>
    <t>ISLAMI BANK BANGLADESH  PLC. FOREIGN EXCHANGE BRANCH</t>
  </si>
  <si>
    <t>0864 2604 0479</t>
  </si>
  <si>
    <t>0864</t>
  </si>
  <si>
    <t>22732/26</t>
  </si>
  <si>
    <t>0864 2604 0476</t>
  </si>
  <si>
    <t>22733/26</t>
  </si>
  <si>
    <t>0202 2604 01174</t>
  </si>
  <si>
    <t>12.04.26</t>
  </si>
  <si>
    <t>16.05.26</t>
  </si>
  <si>
    <t>22751/26</t>
  </si>
  <si>
    <t>0202 2604 01173</t>
  </si>
  <si>
    <t>22612/26</t>
  </si>
  <si>
    <t>SB STYLE COMPOSITE LIMITED</t>
  </si>
  <si>
    <t>1742</t>
  </si>
  <si>
    <t>MERCANTILE BANK PLC KAWRAN BRANCH</t>
  </si>
  <si>
    <t>1742 2604 00075</t>
  </si>
  <si>
    <t>0050/26</t>
  </si>
  <si>
    <t>0751 2603 00619</t>
  </si>
  <si>
    <t>12.05.26</t>
  </si>
  <si>
    <t>27.04.26</t>
  </si>
  <si>
    <t>22747/26</t>
  </si>
  <si>
    <t>3085 2603 00526</t>
  </si>
  <si>
    <t>22780/26</t>
  </si>
  <si>
    <t>0751 2603 00617</t>
  </si>
  <si>
    <t>22781/26</t>
  </si>
  <si>
    <t>0751 2603 00618</t>
  </si>
  <si>
    <t>22753/26</t>
  </si>
  <si>
    <t>3085 2603 00525</t>
  </si>
  <si>
    <t>21059/26</t>
  </si>
  <si>
    <t>1007 2604 00941</t>
  </si>
  <si>
    <t>21060/26</t>
  </si>
  <si>
    <t>1007 2604 00950</t>
  </si>
  <si>
    <t>21061/26</t>
  </si>
  <si>
    <t>1007 2604 00939</t>
  </si>
  <si>
    <t>21072/26</t>
  </si>
  <si>
    <t>3085 2603 00527</t>
  </si>
  <si>
    <t>22734/26</t>
  </si>
  <si>
    <t>1007 2604 00942</t>
  </si>
  <si>
    <t>22768/26</t>
  </si>
  <si>
    <t>1471 2604 01128</t>
  </si>
  <si>
    <t>05.07.26</t>
  </si>
  <si>
    <t>1555 2603 00530</t>
  </si>
  <si>
    <t>21071/26</t>
  </si>
  <si>
    <t>DCBD1177208</t>
  </si>
  <si>
    <t>22422/26</t>
  </si>
  <si>
    <t>BBCDAK630344</t>
  </si>
  <si>
    <t>22207/26</t>
  </si>
  <si>
    <t>BBCDAK630350</t>
  </si>
  <si>
    <t>22632/26</t>
  </si>
  <si>
    <t>1555 2604 01099</t>
  </si>
  <si>
    <t>22680/26</t>
  </si>
  <si>
    <t>0201 2604 01405</t>
  </si>
  <si>
    <t>22783/26</t>
  </si>
  <si>
    <t>0202 2604 01185</t>
  </si>
  <si>
    <t>22752/26</t>
  </si>
  <si>
    <t>0202 2604 01184</t>
  </si>
  <si>
    <t>22777/26</t>
  </si>
  <si>
    <t>1007 2604 00970</t>
  </si>
  <si>
    <t>22695/26</t>
  </si>
  <si>
    <t>BBCDAK630360</t>
  </si>
  <si>
    <t>22571/26</t>
  </si>
  <si>
    <t>SOIV2604060445990</t>
  </si>
  <si>
    <t>21078/26</t>
  </si>
  <si>
    <t>3085 2603 00543</t>
  </si>
  <si>
    <t>22792/26</t>
  </si>
  <si>
    <t>3085 2603 00544</t>
  </si>
  <si>
    <t>22477/26</t>
  </si>
  <si>
    <t>22765/26</t>
  </si>
  <si>
    <t>22686/26</t>
  </si>
  <si>
    <t>DBBL CTSD TEJGAON BRANCH.</t>
  </si>
  <si>
    <t>04.06.26</t>
  </si>
  <si>
    <t>22772/26</t>
  </si>
  <si>
    <t>BBCDAK630375</t>
  </si>
  <si>
    <t>22790/26</t>
  </si>
  <si>
    <t>10.07.26</t>
  </si>
  <si>
    <t>1013 2604 01101</t>
  </si>
  <si>
    <t>1689 2604 01320</t>
  </si>
  <si>
    <t>3053 260 400614</t>
  </si>
  <si>
    <t>1555 2604 01124</t>
  </si>
  <si>
    <t>22778/26</t>
  </si>
  <si>
    <t>1007 2604 00975</t>
  </si>
  <si>
    <t>22802/26</t>
  </si>
  <si>
    <t>3085 2603 00553</t>
  </si>
  <si>
    <t>22803/26</t>
  </si>
  <si>
    <t>0751 2603 00644</t>
  </si>
  <si>
    <t>22805/26</t>
  </si>
  <si>
    <t>0751 2603 00650</t>
  </si>
  <si>
    <t>21080/26</t>
  </si>
  <si>
    <t>3085 2603 00554</t>
  </si>
  <si>
    <t>0051/26</t>
  </si>
  <si>
    <t>1475 2603 00928</t>
  </si>
  <si>
    <t>22725/26</t>
  </si>
  <si>
    <t>PRMR2604150001256</t>
  </si>
  <si>
    <t>22791/26</t>
  </si>
  <si>
    <t>1421 2604 00484</t>
  </si>
  <si>
    <t>1421</t>
  </si>
  <si>
    <t>22727/26</t>
  </si>
  <si>
    <t>0216 2604 01016</t>
  </si>
  <si>
    <t>22810/26</t>
  </si>
  <si>
    <t>2970 2603 00052</t>
  </si>
  <si>
    <t>24.05.26</t>
  </si>
  <si>
    <t>22811/26</t>
  </si>
  <si>
    <t>2970 2603 00051</t>
  </si>
  <si>
    <t>22812/26</t>
  </si>
  <si>
    <t>2970 2603 00050</t>
  </si>
  <si>
    <t>22823/26</t>
  </si>
  <si>
    <t>0751 2603 00657</t>
  </si>
  <si>
    <t>22804/26</t>
  </si>
  <si>
    <t>3085 2603 00561</t>
  </si>
  <si>
    <t>22820/26</t>
  </si>
  <si>
    <t>22825/26</t>
  </si>
  <si>
    <t>0751 2603 00655</t>
  </si>
  <si>
    <t>0751 2603 00658</t>
  </si>
  <si>
    <t>21082/26</t>
  </si>
  <si>
    <t>1475 2603 00945</t>
  </si>
  <si>
    <t>21086/26</t>
  </si>
  <si>
    <t>0751 2603 00654</t>
  </si>
  <si>
    <t>0053/26</t>
  </si>
  <si>
    <t>0751 2603 00653</t>
  </si>
  <si>
    <t>22769/26</t>
  </si>
  <si>
    <t>1555 2604 01171</t>
  </si>
  <si>
    <t>22785/26</t>
  </si>
  <si>
    <t>A &amp; O APPARELS (PVT) LTD.</t>
  </si>
  <si>
    <t>0730 2604 00073</t>
  </si>
  <si>
    <t>0730</t>
  </si>
  <si>
    <t>22771/26</t>
  </si>
  <si>
    <t>DPCBD1177556</t>
  </si>
  <si>
    <t>22787/26</t>
  </si>
  <si>
    <t>1007 2604 00989</t>
  </si>
  <si>
    <t>22788/26</t>
  </si>
  <si>
    <t>1007 2604 00992</t>
  </si>
  <si>
    <t>22789/26</t>
  </si>
  <si>
    <t>1007 2604 00991</t>
  </si>
  <si>
    <t>22808/26</t>
  </si>
  <si>
    <t>ABDULLAH FASHIONS LTD.</t>
  </si>
  <si>
    <t>PUBALI BANK PLC. MOTIJHEEL CORPORATEBRANCH</t>
  </si>
  <si>
    <t>0195 2604 00917</t>
  </si>
  <si>
    <t>0195</t>
  </si>
  <si>
    <t>22773/26</t>
  </si>
  <si>
    <t xml:space="preserve">PRIME BANK PLC. MOTIJHEEL BRANCH </t>
  </si>
  <si>
    <t>1539 2603 00066</t>
  </si>
  <si>
    <t>1539</t>
  </si>
  <si>
    <t>22816/26 22817/26 22818/26</t>
  </si>
  <si>
    <t>0751 2603 00660</t>
  </si>
  <si>
    <t>21063/26</t>
  </si>
  <si>
    <t>3085 2603 00529</t>
  </si>
  <si>
    <t>21088/26</t>
  </si>
  <si>
    <t>1475 2603 00976</t>
  </si>
  <si>
    <t>21085/26</t>
  </si>
  <si>
    <t>2970 2603 00053</t>
  </si>
  <si>
    <t>21089/26</t>
  </si>
  <si>
    <t>1475 2603 00977</t>
  </si>
  <si>
    <t>22832/26</t>
  </si>
  <si>
    <t>1475 2603 00978</t>
  </si>
  <si>
    <t>22786/26</t>
  </si>
  <si>
    <t>3054 2604 00797</t>
  </si>
  <si>
    <t>22809/26 22801/26 22800/26</t>
  </si>
  <si>
    <t>1690 2604 00359</t>
  </si>
  <si>
    <t>22830/26</t>
  </si>
  <si>
    <t>1349 2604 00418</t>
  </si>
  <si>
    <t>21.04.26</t>
  </si>
  <si>
    <t>22821/26</t>
  </si>
  <si>
    <t>0751 2603 00668</t>
  </si>
  <si>
    <t>22847/26</t>
  </si>
  <si>
    <t>21087/26</t>
  </si>
  <si>
    <t>3054 2604 00872</t>
  </si>
  <si>
    <t>22828/26</t>
  </si>
  <si>
    <t>0216 2604 01122</t>
  </si>
  <si>
    <t>22837/26</t>
  </si>
  <si>
    <t>3085 2603 00581</t>
  </si>
  <si>
    <t>03.06.26</t>
  </si>
  <si>
    <t>21091/26</t>
  </si>
  <si>
    <t>3085 2603 00580</t>
  </si>
  <si>
    <t>22844/26</t>
  </si>
  <si>
    <t>3085 2603 00598</t>
  </si>
  <si>
    <t>22843/26</t>
  </si>
  <si>
    <t>3085 2603 00597</t>
  </si>
  <si>
    <t>22848/26</t>
  </si>
  <si>
    <t>3085 2603 00607</t>
  </si>
  <si>
    <t>21093/26</t>
  </si>
  <si>
    <t>3085 2603 00608</t>
  </si>
  <si>
    <t>22829/26</t>
  </si>
  <si>
    <t>1021 2604 00710</t>
  </si>
  <si>
    <t>21095/26</t>
  </si>
  <si>
    <t>0751 2603 00695</t>
  </si>
  <si>
    <t>26.04.26</t>
  </si>
  <si>
    <t>12.06.26</t>
  </si>
  <si>
    <t>22863/26</t>
  </si>
  <si>
    <t>0751 2603 00696</t>
  </si>
  <si>
    <t>22859/26</t>
  </si>
  <si>
    <t>0751 2603 00697</t>
  </si>
  <si>
    <t>14.06.26</t>
  </si>
  <si>
    <t>22860/26</t>
  </si>
  <si>
    <t>0751 2603 00698</t>
  </si>
  <si>
    <t>22864/26</t>
  </si>
  <si>
    <t>0751 2603 00694</t>
  </si>
  <si>
    <t>22871/26</t>
  </si>
  <si>
    <t>3085 2603 00634</t>
  </si>
  <si>
    <t>22211/26 22631/26</t>
  </si>
  <si>
    <t>BBCDAK630382</t>
  </si>
  <si>
    <t>01.07.26</t>
  </si>
  <si>
    <t>22840/26</t>
  </si>
  <si>
    <t>BBCDAK630425</t>
  </si>
  <si>
    <t>25.07.26</t>
  </si>
  <si>
    <t>22831/26</t>
  </si>
  <si>
    <t>0751 2604 03899</t>
  </si>
  <si>
    <t>26.06.26</t>
  </si>
  <si>
    <t>11.06.26</t>
  </si>
  <si>
    <t>2970 2603 00054</t>
  </si>
  <si>
    <t>22861/26</t>
  </si>
  <si>
    <t>1416 2604 01381</t>
  </si>
  <si>
    <t>22807/26</t>
  </si>
  <si>
    <t>PRMR2604190000488</t>
  </si>
  <si>
    <t>22842/26</t>
  </si>
  <si>
    <t>1007 2604 01059</t>
  </si>
  <si>
    <t>22841/26</t>
  </si>
  <si>
    <t>1007 2604 01058</t>
  </si>
  <si>
    <t>22607/26</t>
  </si>
  <si>
    <t>3085 2603 00629</t>
  </si>
  <si>
    <t>22872/26</t>
  </si>
  <si>
    <t>3085 2603 00647</t>
  </si>
  <si>
    <t>21097/26</t>
  </si>
  <si>
    <t>3085 2603 00637</t>
  </si>
  <si>
    <t>22880/26</t>
  </si>
  <si>
    <t>1475 2604 04525</t>
  </si>
  <si>
    <t>21098/26</t>
  </si>
  <si>
    <t>0751 2603 00702</t>
  </si>
  <si>
    <t>22873/26</t>
  </si>
  <si>
    <t>0751 2603 00707</t>
  </si>
  <si>
    <t>22566/26</t>
  </si>
  <si>
    <t>3085 2604 02601</t>
  </si>
  <si>
    <t>22835/26</t>
  </si>
  <si>
    <t>1018 2604 00510</t>
  </si>
  <si>
    <t>22819/26 22815/26</t>
  </si>
  <si>
    <t>1555 2603 00624</t>
  </si>
  <si>
    <t>22869/26</t>
  </si>
  <si>
    <t>1007 2604 01065</t>
  </si>
  <si>
    <t>22878/26</t>
  </si>
  <si>
    <t>1007 2604 01064</t>
  </si>
  <si>
    <t>21100/26</t>
  </si>
  <si>
    <t>2970 2603 00056</t>
  </si>
  <si>
    <t>22888/26</t>
  </si>
  <si>
    <t>2970 2603 00055</t>
  </si>
  <si>
    <t>22891/26</t>
  </si>
  <si>
    <t>3085 2603 00663</t>
  </si>
  <si>
    <t>22892/26</t>
  </si>
  <si>
    <t>3085 2603 00662</t>
  </si>
  <si>
    <t>22890/26</t>
  </si>
  <si>
    <t>3085 2603 00661</t>
  </si>
  <si>
    <t>22893/26</t>
  </si>
  <si>
    <t>3085 2603 00660</t>
  </si>
  <si>
    <t>22889/26</t>
  </si>
  <si>
    <t>3085 2603 00659</t>
  </si>
  <si>
    <t>22883/26</t>
  </si>
  <si>
    <t>ONE BANK PLC BANANI BRANCH</t>
  </si>
  <si>
    <t>1886 2603 00080</t>
  </si>
  <si>
    <t>1886</t>
  </si>
  <si>
    <t>22884/26</t>
  </si>
  <si>
    <t>1886 2603 00081</t>
  </si>
  <si>
    <t>22634/26 22635/26</t>
  </si>
  <si>
    <t>BBCDAK630442</t>
  </si>
  <si>
    <t>22707/26</t>
  </si>
  <si>
    <t>BBCDAK630441</t>
  </si>
  <si>
    <t>22636/26</t>
  </si>
  <si>
    <t>BBCDAK630383</t>
  </si>
  <si>
    <t>22770/26</t>
  </si>
  <si>
    <t>1086 264 00996</t>
  </si>
  <si>
    <t>22826/26</t>
  </si>
  <si>
    <t>1559 2604 00283</t>
  </si>
  <si>
    <t>21096/26</t>
  </si>
  <si>
    <t>1475 2603 01024</t>
  </si>
  <si>
    <t>22902/26</t>
  </si>
  <si>
    <t>0751 2603 00718</t>
  </si>
  <si>
    <t>21104/26</t>
  </si>
  <si>
    <t>0751 2603 00716</t>
  </si>
  <si>
    <t>22202/26</t>
  </si>
  <si>
    <t>BBCDAK630396</t>
  </si>
  <si>
    <t>22879/26</t>
  </si>
  <si>
    <t>0751 2604 04095</t>
  </si>
  <si>
    <t>28.04.06</t>
  </si>
  <si>
    <t>22862/26</t>
  </si>
  <si>
    <t>0751 2603 00730</t>
  </si>
  <si>
    <t>22885/26</t>
  </si>
  <si>
    <t>0751 2603 00739</t>
  </si>
  <si>
    <t>0055/26</t>
  </si>
  <si>
    <t>0751 2603 00738</t>
  </si>
  <si>
    <t>22901/26</t>
  </si>
  <si>
    <t>3085 2603 00664</t>
  </si>
  <si>
    <t>21103/26</t>
  </si>
  <si>
    <t>0751 2603 00737</t>
  </si>
  <si>
    <t>22881/26</t>
  </si>
  <si>
    <t>DPCBD1179183</t>
  </si>
  <si>
    <t>21099/26</t>
  </si>
  <si>
    <t>3085 2603 00658</t>
  </si>
  <si>
    <t>22799/26</t>
  </si>
  <si>
    <t>ISLAMI BANK BANGLADESH  PLC. MOUCHAK BRANCH</t>
  </si>
  <si>
    <t>0890 2604 0157</t>
  </si>
  <si>
    <t>0890</t>
  </si>
  <si>
    <t>19.06.26</t>
  </si>
  <si>
    <t>22909/26</t>
  </si>
  <si>
    <t>0751 2603 00747</t>
  </si>
  <si>
    <t>22908/26</t>
  </si>
  <si>
    <t>0751 2603 00748</t>
  </si>
  <si>
    <t>21230/26</t>
  </si>
  <si>
    <t>0751 2603 00742</t>
  </si>
  <si>
    <t>22866/26</t>
  </si>
  <si>
    <t>1343 2603 00282</t>
  </si>
  <si>
    <t>21107/26</t>
  </si>
  <si>
    <t>3085 2603 00680</t>
  </si>
  <si>
    <t>0047/26</t>
  </si>
  <si>
    <t>1335 2604 01427</t>
  </si>
  <si>
    <t>08.07.26</t>
  </si>
  <si>
    <t>23.06.26</t>
  </si>
  <si>
    <t>22868/26</t>
  </si>
  <si>
    <t>1009 2604 00334</t>
  </si>
  <si>
    <t>22915/26</t>
  </si>
  <si>
    <t>0751 2604 04264</t>
  </si>
  <si>
    <t>22930/26</t>
  </si>
  <si>
    <t>3085 2603 00684</t>
  </si>
  <si>
    <t>22917/26</t>
  </si>
  <si>
    <t>2970 2603 00057</t>
  </si>
  <si>
    <t>1009</t>
  </si>
  <si>
    <t>21110/26 21111/26</t>
  </si>
  <si>
    <t>1475 2603 01120</t>
  </si>
  <si>
    <t>22887/26</t>
  </si>
  <si>
    <t>KNIT ASIA LTD.</t>
  </si>
  <si>
    <t>1689 2603 00237</t>
  </si>
  <si>
    <t>22839/26</t>
  </si>
  <si>
    <t>1555 2604 01326</t>
  </si>
  <si>
    <t>21108/26</t>
  </si>
  <si>
    <t>3085 2603 00687</t>
  </si>
  <si>
    <t>22916/26</t>
  </si>
  <si>
    <t>3085 2603 00685</t>
  </si>
  <si>
    <t>22886/26</t>
  </si>
  <si>
    <t>BBCDAK630458</t>
  </si>
  <si>
    <t>21116/26</t>
  </si>
  <si>
    <t>3085 2603 00699</t>
  </si>
  <si>
    <t>21113/26</t>
  </si>
  <si>
    <t>1475 2603 01133</t>
  </si>
  <si>
    <t>21115/26</t>
  </si>
  <si>
    <t>0751 2603 00767</t>
  </si>
  <si>
    <t>22938/26</t>
  </si>
  <si>
    <t>0751 2603 00765</t>
  </si>
  <si>
    <t>22937/26</t>
  </si>
  <si>
    <t>0751 2603 00764</t>
  </si>
  <si>
    <t>NKM FASHION LIMITED</t>
  </si>
  <si>
    <t>Mr. Lipu Sir</t>
  </si>
  <si>
    <t>Mr. Reza Sir</t>
  </si>
  <si>
    <t>SHAHJALAL ISLAMI BANK PLC. DHKA MAIN BRANCH. DILKUSHA</t>
  </si>
  <si>
    <t>ISLAMI BANK BANGLADESH  PLC. UTTARA BRANCH</t>
  </si>
  <si>
    <t xml:space="preserve"> DHAKA BANK PLC.. CPC-TO. PURANA PALTAN LANE</t>
  </si>
  <si>
    <t>SHAHJALAL ISLAMI BANK           LTD. MOTIJHEEL BRANCH</t>
  </si>
  <si>
    <t>ISLAMI BANK BANGLADESH PLC. KAWARN BAZAR BRANCH</t>
  </si>
  <si>
    <t>ISLAMI BANK BANGLADESH PLC. MOTIJHEEL BRANCH</t>
  </si>
  <si>
    <t>SHAHJALAL ISLAMI BANK LTD. NARAYANGANJ BRANCH</t>
  </si>
  <si>
    <t>ISLAMI BANK BANGLADESH          PLC. NARAYANGANJ BRANCH</t>
  </si>
  <si>
    <t>JPMORGAN CHASE BANK. N.A. (US)</t>
  </si>
  <si>
    <t>MR. Nazrul</t>
  </si>
  <si>
    <t>22865/26</t>
  </si>
  <si>
    <t>ALAR2605034329930</t>
  </si>
  <si>
    <t>21120/26</t>
  </si>
  <si>
    <t>3085 2603 00706</t>
  </si>
  <si>
    <t>06.05.26</t>
  </si>
  <si>
    <t>22943/26 22944/26</t>
  </si>
  <si>
    <t>3085 2603 00707</t>
  </si>
  <si>
    <t>22945/26</t>
  </si>
  <si>
    <t>3085 2603 00708</t>
  </si>
  <si>
    <t>22941/26</t>
  </si>
  <si>
    <t>3085 2603 00709</t>
  </si>
  <si>
    <t>22899/26</t>
  </si>
  <si>
    <t>1761 2604 00066</t>
  </si>
  <si>
    <t>1761</t>
  </si>
  <si>
    <t>MERCANTILE BANK PLC. SATMASJID RD BRANCH</t>
  </si>
  <si>
    <t>22912/26</t>
  </si>
  <si>
    <t>SOIV2604060455088</t>
  </si>
  <si>
    <t>22897/26</t>
  </si>
  <si>
    <t>1628 2604 00493</t>
  </si>
  <si>
    <t>1628</t>
  </si>
  <si>
    <t>22939/26</t>
  </si>
  <si>
    <t>1886 2603 00093</t>
  </si>
  <si>
    <t>22940/26</t>
  </si>
  <si>
    <t>1886 2603 00091</t>
  </si>
  <si>
    <t>22933/26</t>
  </si>
  <si>
    <t>ONE BANK PLC NARAYANGANJ BRANCH</t>
  </si>
  <si>
    <t>1887 2603 00034</t>
  </si>
  <si>
    <t>1887</t>
  </si>
  <si>
    <t>21.06.26</t>
  </si>
  <si>
    <t>06.06.26</t>
  </si>
  <si>
    <t>22904/26</t>
  </si>
  <si>
    <t>PUBALI BANK PLC. MOTIJHEEL CORPORATE BRANCH</t>
  </si>
  <si>
    <t>PUBALI BANK PLC. PANTHAPATH BRANCH</t>
  </si>
  <si>
    <t>0210 2604 00253</t>
  </si>
  <si>
    <t>0210</t>
  </si>
  <si>
    <t>22953/26</t>
  </si>
  <si>
    <t>3047 2604 00259</t>
  </si>
  <si>
    <t>3047</t>
  </si>
  <si>
    <t>21123/26</t>
  </si>
  <si>
    <t>3085 2603 00727</t>
  </si>
  <si>
    <t>21122/26</t>
  </si>
  <si>
    <t>22935/26</t>
  </si>
  <si>
    <t>411012613935-L</t>
  </si>
  <si>
    <t>03.08.26</t>
  </si>
  <si>
    <t>19.07.26</t>
  </si>
  <si>
    <t>22898/26</t>
  </si>
  <si>
    <t>2969 2604 01900</t>
  </si>
  <si>
    <t>21126/26</t>
  </si>
  <si>
    <t>3085 2603 00732</t>
  </si>
  <si>
    <t>22968/26</t>
  </si>
  <si>
    <t>3085 2603 00731</t>
  </si>
  <si>
    <t>21124/26</t>
  </si>
  <si>
    <t>0751 2603 00795</t>
  </si>
  <si>
    <t>20.07.26</t>
  </si>
  <si>
    <t>22967/26</t>
  </si>
  <si>
    <t>2970 2603 00061</t>
  </si>
  <si>
    <t>30.07.26</t>
  </si>
  <si>
    <t>22969/26</t>
  </si>
  <si>
    <t>2970 2603 00062</t>
  </si>
  <si>
    <t>22476/26</t>
  </si>
  <si>
    <t>1555 2604 01383</t>
  </si>
  <si>
    <t>22924/26</t>
  </si>
  <si>
    <t>1555 2604 01465</t>
  </si>
  <si>
    <t>22954/26</t>
  </si>
  <si>
    <t>BBCDAK630474</t>
  </si>
  <si>
    <t>21130/26 21131/26</t>
  </si>
  <si>
    <t>0751 2603 00805</t>
  </si>
  <si>
    <t>21132/26</t>
  </si>
  <si>
    <t>0751 2603 00807</t>
  </si>
  <si>
    <t>22963/26</t>
  </si>
  <si>
    <t>1886 2603 00104</t>
  </si>
  <si>
    <t>22962/26</t>
  </si>
  <si>
    <t>1886 2603 00105</t>
  </si>
  <si>
    <t>22974/26</t>
  </si>
  <si>
    <t>0751 2603 00804</t>
  </si>
  <si>
    <t>22975/26</t>
  </si>
  <si>
    <t>0751 2603 00806</t>
  </si>
  <si>
    <t>22934/26</t>
  </si>
  <si>
    <t>AMANAT SHAH FABRICS LIMITED</t>
  </si>
  <si>
    <t>0201 2604 01851</t>
  </si>
  <si>
    <t>22911/26</t>
  </si>
  <si>
    <t>TOMO00012826133</t>
  </si>
  <si>
    <t>22960/26</t>
  </si>
  <si>
    <t>1088 2604 00551</t>
  </si>
  <si>
    <t>22959/26</t>
  </si>
  <si>
    <t>1088 2604 00542</t>
  </si>
  <si>
    <t>22982/26</t>
  </si>
  <si>
    <t>1416 2604 01652</t>
  </si>
  <si>
    <t>22.07.26</t>
  </si>
  <si>
    <t>22988/26</t>
  </si>
  <si>
    <t>1416 2604 01650</t>
  </si>
  <si>
    <t>22977/26</t>
  </si>
  <si>
    <t>1886 2603 00109</t>
  </si>
  <si>
    <t>22989/26</t>
  </si>
  <si>
    <t>3085 2603 00747</t>
  </si>
  <si>
    <t>14.07.26</t>
  </si>
  <si>
    <t>22990/26</t>
  </si>
  <si>
    <t>3085 2603 00746</t>
  </si>
  <si>
    <t>22998/26</t>
  </si>
  <si>
    <t>3085 2603 00751</t>
  </si>
  <si>
    <t>0059/26</t>
  </si>
  <si>
    <t>3085 2603 00752</t>
  </si>
  <si>
    <t>21142/26</t>
  </si>
  <si>
    <t>3085 2603 00750</t>
  </si>
  <si>
    <t>21141/26</t>
  </si>
  <si>
    <t>3085 2603 00749</t>
  </si>
  <si>
    <t>22965/26</t>
  </si>
  <si>
    <t>1886 2603 00111</t>
  </si>
  <si>
    <t>22964/26</t>
  </si>
  <si>
    <t>1886 2603 00110</t>
  </si>
  <si>
    <t>22993/26</t>
  </si>
  <si>
    <t>1349 2604 00528</t>
  </si>
  <si>
    <t>22798/26</t>
  </si>
  <si>
    <t>0201 2604 01957</t>
  </si>
  <si>
    <t>22999/26</t>
  </si>
  <si>
    <t>1475 2603 01266</t>
  </si>
  <si>
    <t>23001/26</t>
  </si>
  <si>
    <t>0751 2603 00829</t>
  </si>
  <si>
    <t>0060/26</t>
  </si>
  <si>
    <t>0751 2603 00830</t>
  </si>
  <si>
    <t>22984/26</t>
  </si>
  <si>
    <t>1886 2603 00112</t>
  </si>
  <si>
    <t>22716/26</t>
  </si>
  <si>
    <t>2159 2604 00652</t>
  </si>
  <si>
    <t>21145/26</t>
  </si>
  <si>
    <t>3085 2603 00759</t>
  </si>
  <si>
    <t>23016/26</t>
  </si>
  <si>
    <t>3085 2603 00758</t>
  </si>
  <si>
    <t>23014/26</t>
  </si>
  <si>
    <t>3085 2603 00760</t>
  </si>
  <si>
    <t>22983/26</t>
  </si>
  <si>
    <t>1471 2604 01612</t>
  </si>
  <si>
    <t>22957/26</t>
  </si>
  <si>
    <t>1088 2604 00569</t>
  </si>
  <si>
    <t>22958/26</t>
  </si>
  <si>
    <t>1088 2604 00568</t>
  </si>
  <si>
    <t>21144/26</t>
  </si>
  <si>
    <t>0751 2603 00831</t>
  </si>
  <si>
    <t>3085 2603 00726</t>
  </si>
  <si>
    <t>22976/26</t>
  </si>
  <si>
    <t>0751 2604 04753</t>
  </si>
  <si>
    <t>22971/26</t>
  </si>
  <si>
    <t>1018 2604 00620</t>
  </si>
  <si>
    <t>21136/26</t>
  </si>
  <si>
    <t>1007 2604 01263</t>
  </si>
  <si>
    <t>21133/26</t>
  </si>
  <si>
    <t>1007 2604 01269</t>
  </si>
  <si>
    <t>21134/26</t>
  </si>
  <si>
    <t>1007 2604 01274</t>
  </si>
  <si>
    <t>21135/26</t>
  </si>
  <si>
    <t>1007 2604 01271</t>
  </si>
  <si>
    <t>22981/26</t>
  </si>
  <si>
    <t>3054 2604 01057</t>
  </si>
  <si>
    <t>21146/26</t>
  </si>
  <si>
    <t>3085 2603 00772</t>
  </si>
  <si>
    <t>23024/26</t>
  </si>
  <si>
    <t>3085 2603 00771</t>
  </si>
  <si>
    <t>23023/26</t>
  </si>
  <si>
    <t>3085 2603 00770</t>
  </si>
  <si>
    <t>22961/26</t>
  </si>
  <si>
    <t>3047 2603 00231</t>
  </si>
  <si>
    <t>22633/26</t>
  </si>
  <si>
    <t>BBCDAK630529</t>
  </si>
  <si>
    <t>22637/26</t>
  </si>
  <si>
    <t>BBCDAK630531</t>
  </si>
  <si>
    <t>18.05.26</t>
  </si>
  <si>
    <t>23022/26</t>
  </si>
  <si>
    <t>0751 2603 00857</t>
  </si>
  <si>
    <t>23038/26</t>
  </si>
  <si>
    <t>3035 2604 00690</t>
  </si>
  <si>
    <t>23034/26</t>
  </si>
  <si>
    <t>1475 2603 01310</t>
  </si>
  <si>
    <t>23040/26</t>
  </si>
  <si>
    <t>3085 2604 295</t>
  </si>
  <si>
    <t>22986/26</t>
  </si>
  <si>
    <t>1007 2604 01308</t>
  </si>
  <si>
    <t>22949/26</t>
  </si>
  <si>
    <t>1555 2604 01573</t>
  </si>
  <si>
    <t>22947/26</t>
  </si>
  <si>
    <t>0216 2604 01447</t>
  </si>
  <si>
    <t>22987/26</t>
  </si>
  <si>
    <t>2228 2604 04291</t>
  </si>
  <si>
    <t>07.08.26</t>
  </si>
  <si>
    <t>23.07.26</t>
  </si>
  <si>
    <t>BENGAL COMMERCIAL BANK PLC Corporate Branch</t>
  </si>
  <si>
    <t xml:space="preserve">BENGAL </t>
  </si>
  <si>
    <t>3751</t>
  </si>
  <si>
    <t>22996/26</t>
  </si>
  <si>
    <t>3751 2603 00004</t>
  </si>
  <si>
    <t>22980/26</t>
  </si>
  <si>
    <t>0751 2603 00866</t>
  </si>
  <si>
    <t>23043/26</t>
  </si>
  <si>
    <t>3085 2603 00784</t>
  </si>
  <si>
    <t>23041/26</t>
  </si>
  <si>
    <t>0751 2603 00865</t>
  </si>
  <si>
    <t>23042/26</t>
  </si>
  <si>
    <t>3085 2604 04400</t>
  </si>
  <si>
    <t>21155/26</t>
  </si>
  <si>
    <t>3085 2603 00785</t>
  </si>
  <si>
    <t>21153/26</t>
  </si>
  <si>
    <t>3085 2603 00783</t>
  </si>
  <si>
    <t>21137/26</t>
  </si>
  <si>
    <t>0751 2603 00867</t>
  </si>
  <si>
    <t>22995/26</t>
  </si>
  <si>
    <t>1007 2604 01286</t>
  </si>
  <si>
    <t>23037/26</t>
  </si>
  <si>
    <t>0742 2604 01248</t>
  </si>
  <si>
    <t>0742</t>
  </si>
  <si>
    <t>22994/26</t>
  </si>
  <si>
    <t>1471 2604 01700</t>
  </si>
  <si>
    <t>14.08.26</t>
  </si>
  <si>
    <t>23056/26</t>
  </si>
  <si>
    <t>0751 2603 00879</t>
  </si>
  <si>
    <t>04.07.26</t>
  </si>
  <si>
    <t>23051/26</t>
  </si>
  <si>
    <t>0751 2603 00882</t>
  </si>
  <si>
    <t>23049/26</t>
  </si>
  <si>
    <t>0751 2603 00881</t>
  </si>
  <si>
    <t>23050/26</t>
  </si>
  <si>
    <t>0751 2603 00880</t>
  </si>
  <si>
    <t>23006/26</t>
  </si>
  <si>
    <t>0202 2604 01681</t>
  </si>
  <si>
    <t>25.12.26</t>
  </si>
  <si>
    <t>10.12.26</t>
  </si>
  <si>
    <t>23007/26</t>
  </si>
  <si>
    <t>0202 2604 01682</t>
  </si>
  <si>
    <t>23005/26</t>
  </si>
  <si>
    <t>0202 2604 01683</t>
  </si>
  <si>
    <t>23004/26</t>
  </si>
  <si>
    <t>0202 2604 01684</t>
  </si>
  <si>
    <t>23003/26</t>
  </si>
  <si>
    <t>0202 2604 01685</t>
  </si>
  <si>
    <t>22978/26 22979/26</t>
  </si>
  <si>
    <t>BBCDAK630510</t>
  </si>
  <si>
    <t>23060/26</t>
  </si>
  <si>
    <t>0751 2603 00893</t>
  </si>
  <si>
    <t>23058/26</t>
  </si>
  <si>
    <t>0751 2603 00892</t>
  </si>
  <si>
    <t>23057/26</t>
  </si>
  <si>
    <t>0751 2603 00891</t>
  </si>
  <si>
    <t>23064/26</t>
  </si>
  <si>
    <t>2971 2604 01717</t>
  </si>
  <si>
    <t>23031/26</t>
  </si>
  <si>
    <t>1088 2604 00599</t>
  </si>
  <si>
    <t>23032/26</t>
  </si>
  <si>
    <t>1088 2604 00598</t>
  </si>
  <si>
    <t>23033/26</t>
  </si>
  <si>
    <t>1018 2604 00656</t>
  </si>
  <si>
    <t>23047/26</t>
  </si>
  <si>
    <t>1690 2604 00510</t>
  </si>
  <si>
    <t>21147/26</t>
  </si>
  <si>
    <t>1007 2604 01371</t>
  </si>
  <si>
    <t>22950/26</t>
  </si>
  <si>
    <t>BBCDAK630509</t>
  </si>
  <si>
    <t>22858/26</t>
  </si>
  <si>
    <t>BBCDAK630507</t>
  </si>
  <si>
    <t>23013/26</t>
  </si>
  <si>
    <t>1544 2604 00561</t>
  </si>
  <si>
    <t>1544</t>
  </si>
  <si>
    <t>21152/26</t>
  </si>
  <si>
    <t>1475 2603 01365</t>
  </si>
  <si>
    <t>04.08.26</t>
  </si>
  <si>
    <t>23069/26</t>
  </si>
  <si>
    <t>2970 2603 00064</t>
  </si>
  <si>
    <t>23068/26</t>
  </si>
  <si>
    <t>1475 2603 01366</t>
  </si>
  <si>
    <t>0063/26</t>
  </si>
  <si>
    <t>0751 2603 00903</t>
  </si>
  <si>
    <t>23071/26</t>
  </si>
  <si>
    <t>0751 2603 00904</t>
  </si>
  <si>
    <t>23070/26</t>
  </si>
  <si>
    <t>3085 2603 00820</t>
  </si>
  <si>
    <t>23020/26</t>
  </si>
  <si>
    <t>0742 2604 01296</t>
  </si>
  <si>
    <t>23084/26</t>
  </si>
  <si>
    <t>2162 2604 00848</t>
  </si>
  <si>
    <t>30.10.26</t>
  </si>
  <si>
    <t>15.10.26</t>
  </si>
  <si>
    <t>21162/26</t>
  </si>
  <si>
    <t>3085 2603 00828</t>
  </si>
  <si>
    <t>23082/26</t>
  </si>
  <si>
    <t>3085 2603 00829</t>
  </si>
  <si>
    <t>0065/26</t>
  </si>
  <si>
    <t>3085 2603 00827</t>
  </si>
  <si>
    <t>23048/26</t>
  </si>
  <si>
    <t>1690 2604 00522</t>
  </si>
  <si>
    <t>RIZVI FASHIONS LTD</t>
  </si>
  <si>
    <t>23063/26</t>
  </si>
  <si>
    <t>2967 2604 01334</t>
  </si>
  <si>
    <t>23079/26</t>
  </si>
  <si>
    <t>0751 2603 00910</t>
  </si>
  <si>
    <t>0066/26</t>
  </si>
  <si>
    <t>0751 2603 00917</t>
  </si>
  <si>
    <t>21165/26</t>
  </si>
  <si>
    <t>3085 2603 00832</t>
  </si>
  <si>
    <t>02.06.26</t>
  </si>
  <si>
    <t>23092/26</t>
  </si>
  <si>
    <t>0751 2603 00915</t>
  </si>
  <si>
    <t>23093/26</t>
  </si>
  <si>
    <t>0751 2603 00916</t>
  </si>
  <si>
    <t>23081/26</t>
  </si>
  <si>
    <t>0751 2603 00909</t>
  </si>
  <si>
    <t>23080/26</t>
  </si>
  <si>
    <t>0751 2603 00908</t>
  </si>
  <si>
    <t>22925/26</t>
  </si>
  <si>
    <t>1555 2604 01623</t>
  </si>
  <si>
    <t>27.06.26</t>
  </si>
  <si>
    <t>21150/26</t>
  </si>
  <si>
    <t>DCBD1182018</t>
  </si>
  <si>
    <t>10.08.26</t>
  </si>
  <si>
    <t>23105/26</t>
  </si>
  <si>
    <t>1475 2603 01399</t>
  </si>
  <si>
    <t>23110/26</t>
  </si>
  <si>
    <t>1475 2603 01400</t>
  </si>
  <si>
    <t>21171/26</t>
  </si>
  <si>
    <t>0751 2603 00920</t>
  </si>
  <si>
    <t>23107/26</t>
  </si>
  <si>
    <t>0751 2603 00921</t>
  </si>
  <si>
    <t>23111/26</t>
  </si>
  <si>
    <t>3085 2603 00836</t>
  </si>
  <si>
    <t>21163/26</t>
  </si>
  <si>
    <t>1347 2604 00643</t>
  </si>
  <si>
    <t>23098/26</t>
  </si>
  <si>
    <t>Pakiza Knit Composite Ltd.</t>
  </si>
  <si>
    <t>1413 2604 00703</t>
  </si>
  <si>
    <t>1413</t>
  </si>
  <si>
    <t>22920/26</t>
  </si>
  <si>
    <t>1555 2604 01620</t>
  </si>
  <si>
    <t>22922/26</t>
  </si>
  <si>
    <t>1555 2604 01634</t>
  </si>
  <si>
    <t>22359/26</t>
  </si>
  <si>
    <t>UTTARA BANK PLC FOREIGN EXCHANGE BRANCH</t>
  </si>
  <si>
    <t>0435 2604 0492</t>
  </si>
  <si>
    <t>UTTARA BANK</t>
  </si>
  <si>
    <t>0435</t>
  </si>
  <si>
    <t>23095/26</t>
  </si>
  <si>
    <t>2150 2604 00750</t>
  </si>
  <si>
    <t>07.07.26</t>
  </si>
  <si>
    <t>23059/26</t>
  </si>
  <si>
    <t>1080 2604 00412</t>
  </si>
  <si>
    <t>AL-ARAFA</t>
  </si>
  <si>
    <t>21188/26</t>
  </si>
  <si>
    <t>0751 2603 00925</t>
  </si>
  <si>
    <t>07.06.26</t>
  </si>
  <si>
    <t>29.07.26</t>
  </si>
  <si>
    <t>23121/26</t>
  </si>
  <si>
    <t>1475 2603 01412</t>
  </si>
  <si>
    <t>08.06.26</t>
  </si>
  <si>
    <t>23090/26</t>
  </si>
  <si>
    <t>PRIME BANK PLC. ISLAMIC BANKING BRANCH</t>
  </si>
  <si>
    <t>1544 2604 00576</t>
  </si>
  <si>
    <t>23122/26</t>
  </si>
  <si>
    <t>3085 2603 00874</t>
  </si>
  <si>
    <t>23112/26</t>
  </si>
  <si>
    <t>3085 2603 00841</t>
  </si>
  <si>
    <t>0070/26</t>
  </si>
  <si>
    <t>0751 2603 00935</t>
  </si>
  <si>
    <t>09.07.26</t>
  </si>
  <si>
    <t>24.06.26</t>
  </si>
  <si>
    <t>21159/26 21160/26</t>
  </si>
  <si>
    <t>3085 2603 00830</t>
  </si>
  <si>
    <t>21189/26</t>
  </si>
  <si>
    <t>1007 2604 01430</t>
  </si>
  <si>
    <t>21172/26</t>
  </si>
  <si>
    <t>1007 2604 01421</t>
  </si>
  <si>
    <t>21173/26</t>
  </si>
  <si>
    <t>1007 2604 01423</t>
  </si>
  <si>
    <t>21174/26</t>
  </si>
  <si>
    <t>1007 2604 01427</t>
  </si>
  <si>
    <t>21175/26</t>
  </si>
  <si>
    <t>1007 2604 01429</t>
  </si>
  <si>
    <t>23099/26</t>
  </si>
  <si>
    <t>1021 2604 00999</t>
  </si>
  <si>
    <t>23100/26</t>
  </si>
  <si>
    <t>1021 2604 00996</t>
  </si>
  <si>
    <t>23130/26</t>
  </si>
  <si>
    <t>0751 2603 00937</t>
  </si>
  <si>
    <t>23120/26</t>
  </si>
  <si>
    <t>3035 2604 00751</t>
  </si>
  <si>
    <t>23133/26</t>
  </si>
  <si>
    <t>0751 2604 05534</t>
  </si>
  <si>
    <t>23129/26</t>
  </si>
  <si>
    <t>0751 2604 05535</t>
  </si>
  <si>
    <t>0071/26</t>
  </si>
  <si>
    <t>0751 2603 00938</t>
  </si>
  <si>
    <t>23142/26</t>
  </si>
  <si>
    <t>3085 2603 00892</t>
  </si>
  <si>
    <t>23143/26 23144/26</t>
  </si>
  <si>
    <t>3085 2603 00893</t>
  </si>
  <si>
    <t>23136/26</t>
  </si>
  <si>
    <t>2970 2603 00065</t>
  </si>
  <si>
    <t>23139/26</t>
  </si>
  <si>
    <t>0751 2603 00939</t>
  </si>
  <si>
    <t>23127/26</t>
  </si>
  <si>
    <t>1007 2604 01492</t>
  </si>
  <si>
    <t>23125/26</t>
  </si>
  <si>
    <t>1007 2604 01491</t>
  </si>
  <si>
    <t>23126/26</t>
  </si>
  <si>
    <t>1007 2604 01495</t>
  </si>
  <si>
    <t>23128/26</t>
  </si>
  <si>
    <t>1007 2604 01494</t>
  </si>
  <si>
    <t>23118/26</t>
  </si>
  <si>
    <t>1007 2604 01466</t>
  </si>
  <si>
    <t>23117/26</t>
  </si>
  <si>
    <t>1007 2604 01465</t>
  </si>
  <si>
    <t>23115/26</t>
  </si>
  <si>
    <t>1007 2604 01452</t>
  </si>
  <si>
    <t>23114/26</t>
  </si>
  <si>
    <t>1007 2604 01454</t>
  </si>
  <si>
    <t>23116/26</t>
  </si>
  <si>
    <t>1007 2604 01463</t>
  </si>
  <si>
    <t>UCBL BANGSHAL BRANCH</t>
  </si>
  <si>
    <t>21177/26</t>
  </si>
  <si>
    <t>1007 2604 01433</t>
  </si>
  <si>
    <t>21176/26</t>
  </si>
  <si>
    <t>1007 2604 01435</t>
  </si>
  <si>
    <t>21178/26</t>
  </si>
  <si>
    <t>1007 2604 01431</t>
  </si>
  <si>
    <t>21185/26</t>
  </si>
  <si>
    <t>1007 2604 01450</t>
  </si>
  <si>
    <t>21180/26</t>
  </si>
  <si>
    <t>1007 2604 01456</t>
  </si>
  <si>
    <t>21181/26</t>
  </si>
  <si>
    <t>1007 2604 01457</t>
  </si>
  <si>
    <t>21187/26</t>
  </si>
  <si>
    <t>1007 2604 01459</t>
  </si>
  <si>
    <t>21182/26</t>
  </si>
  <si>
    <t>1007 2604 01460</t>
  </si>
  <si>
    <t>21184/26</t>
  </si>
  <si>
    <t>1007 2604 01453</t>
  </si>
  <si>
    <t>21183/26</t>
  </si>
  <si>
    <t>1007 2604 01458</t>
  </si>
  <si>
    <t>21186/26</t>
  </si>
  <si>
    <t>1007 2604 01449</t>
  </si>
  <si>
    <t>21179/26</t>
  </si>
  <si>
    <t>1007 2604 01461</t>
  </si>
  <si>
    <t>23141/26</t>
  </si>
  <si>
    <t>BBCDAK630621</t>
  </si>
  <si>
    <t>01.08.26</t>
  </si>
  <si>
    <t>22853/26 22854/26</t>
  </si>
  <si>
    <t>BBCDAK630622</t>
  </si>
  <si>
    <t>21193/26</t>
  </si>
  <si>
    <t>0751 2603 00947</t>
  </si>
  <si>
    <t>23026/26</t>
  </si>
  <si>
    <t>1742 2604 00131</t>
  </si>
  <si>
    <t>20.08.26</t>
  </si>
  <si>
    <t>05.08.26</t>
  </si>
  <si>
    <t>23124/26</t>
  </si>
  <si>
    <t>1007 2604 01501</t>
  </si>
  <si>
    <t>23086/26</t>
  </si>
  <si>
    <t>2228 2604 04834</t>
  </si>
  <si>
    <t>23134/26</t>
  </si>
  <si>
    <t>1886 2603 00126</t>
  </si>
  <si>
    <t>23089/26</t>
  </si>
  <si>
    <t>1555 2603 00815</t>
  </si>
  <si>
    <t>23088/26</t>
  </si>
  <si>
    <t>2155 2604 00980</t>
  </si>
  <si>
    <t>05.09.26</t>
  </si>
  <si>
    <t>23149/26</t>
  </si>
  <si>
    <t>1007 2604 01528</t>
  </si>
  <si>
    <t>23148/26</t>
  </si>
  <si>
    <t>1007 2604 01529</t>
  </si>
  <si>
    <t>23147/26</t>
  </si>
  <si>
    <t>1007 2604 01530</t>
  </si>
  <si>
    <t>23151/26</t>
  </si>
  <si>
    <t>0751 2604 05659</t>
  </si>
  <si>
    <t>21207/26</t>
  </si>
  <si>
    <t>2970 2603 00066</t>
  </si>
  <si>
    <t>21205/26</t>
  </si>
  <si>
    <t>0751 2603 00953</t>
  </si>
  <si>
    <t>21203/26</t>
  </si>
  <si>
    <t>0751 2603 00955</t>
  </si>
  <si>
    <t>OSMAN GARMENTS LTD.</t>
  </si>
  <si>
    <t>21202/26</t>
  </si>
  <si>
    <t>1088 2604 00655</t>
  </si>
  <si>
    <t>16.08.26</t>
  </si>
  <si>
    <t>21198/26</t>
  </si>
  <si>
    <t>1088 2604 00654</t>
  </si>
  <si>
    <t>23164/26</t>
  </si>
  <si>
    <t>3085 2603 00911</t>
  </si>
  <si>
    <t>23163/26</t>
  </si>
  <si>
    <t>3085 2603 00912</t>
  </si>
  <si>
    <t>23160/26</t>
  </si>
  <si>
    <t>0751 2603 00956</t>
  </si>
  <si>
    <t>23166/26</t>
  </si>
  <si>
    <t>0751 2603 00954</t>
  </si>
  <si>
    <t>0069/26</t>
  </si>
  <si>
    <t>1335 2603 00226</t>
  </si>
  <si>
    <t>25.08.26</t>
  </si>
  <si>
    <t>21197/26</t>
  </si>
  <si>
    <t>1088 2604 00658</t>
  </si>
  <si>
    <t>17.06.26</t>
  </si>
  <si>
    <t>21212/26</t>
  </si>
  <si>
    <t>3085 2603 00917</t>
  </si>
  <si>
    <t>23173/26</t>
  </si>
  <si>
    <t>3085 2604 05153</t>
  </si>
  <si>
    <t>23172/26</t>
  </si>
  <si>
    <t>3085 2603 00918</t>
  </si>
  <si>
    <t>23170/26</t>
  </si>
  <si>
    <t>3085 2603 00913</t>
  </si>
  <si>
    <t>23171/26</t>
  </si>
  <si>
    <t>2970 2603 00067</t>
  </si>
  <si>
    <t>23177/26</t>
  </si>
  <si>
    <t>2971 2604 01890</t>
  </si>
  <si>
    <t>23135/26</t>
  </si>
  <si>
    <t>0202 2604 01786</t>
  </si>
  <si>
    <t>15.12.26</t>
  </si>
  <si>
    <t>30.11.26</t>
  </si>
  <si>
    <t>21204/26</t>
  </si>
  <si>
    <t>3085 2603 00922</t>
  </si>
  <si>
    <t>24.07.26</t>
  </si>
  <si>
    <t>21215/26</t>
  </si>
  <si>
    <t>3085 2603 00965</t>
  </si>
  <si>
    <t>0074/26</t>
  </si>
  <si>
    <t>0751 2603 00967</t>
  </si>
  <si>
    <t>09.08.26</t>
  </si>
  <si>
    <t>0073/26</t>
  </si>
  <si>
    <t>3085 2603 00919</t>
  </si>
  <si>
    <t>23185/26</t>
  </si>
  <si>
    <t>3085 2603 00923</t>
  </si>
  <si>
    <t>23184/26</t>
  </si>
  <si>
    <t>3085 2603 00924</t>
  </si>
  <si>
    <t>23187/26</t>
  </si>
  <si>
    <t>0751 2603 00963</t>
  </si>
  <si>
    <t>23182/26</t>
  </si>
  <si>
    <t>0751 2603 00966</t>
  </si>
  <si>
    <t>23195/26</t>
  </si>
  <si>
    <t>0751 2604 05801</t>
  </si>
  <si>
    <t>23192/26</t>
  </si>
  <si>
    <t>1475 2603 01545</t>
  </si>
  <si>
    <t>23193/26</t>
  </si>
  <si>
    <t>1475 2603 01546</t>
  </si>
  <si>
    <t>23179/26</t>
  </si>
  <si>
    <t>1680 2604 01066</t>
  </si>
  <si>
    <t>23155/26</t>
  </si>
  <si>
    <t>1475 2604 06465</t>
  </si>
  <si>
    <t>23194/26</t>
  </si>
  <si>
    <t>3085 2603 00927</t>
  </si>
  <si>
    <t>23150/26</t>
  </si>
  <si>
    <t>1021 2604 01026</t>
  </si>
  <si>
    <t>1086 2604 01400</t>
  </si>
  <si>
    <t>23097/26</t>
  </si>
  <si>
    <t>23202/26</t>
  </si>
  <si>
    <t>1475 2603 01564</t>
  </si>
  <si>
    <t>23204/26</t>
  </si>
  <si>
    <t>1475 2603 01563</t>
  </si>
  <si>
    <t>23203/26</t>
  </si>
  <si>
    <t>1475 2603 01562</t>
  </si>
  <si>
    <t>23167/26</t>
  </si>
  <si>
    <t>0216 2604 01724</t>
  </si>
  <si>
    <t>11.08.26</t>
  </si>
  <si>
    <t>23200/26</t>
  </si>
  <si>
    <t>AST KNITWEAR LTD.</t>
  </si>
  <si>
    <t>SOUTHEAST BANK LTD. CORPORATE BRANCH</t>
  </si>
  <si>
    <t>1351 2604 01000</t>
  </si>
  <si>
    <t>1351</t>
  </si>
  <si>
    <t>23207/26</t>
  </si>
  <si>
    <t>1886 2603 00127</t>
  </si>
  <si>
    <t>23220/26</t>
  </si>
  <si>
    <t>0435 2604 0530</t>
  </si>
  <si>
    <t>23209/26</t>
  </si>
  <si>
    <t>1886 2603 00128</t>
  </si>
  <si>
    <t>23196/26</t>
  </si>
  <si>
    <t>0751 2603 00986</t>
  </si>
  <si>
    <t>23197/26</t>
  </si>
  <si>
    <t>0751 2603 00984</t>
  </si>
  <si>
    <t>23085/26</t>
  </si>
  <si>
    <t>1009 2604 00430</t>
  </si>
  <si>
    <t>23227/26</t>
  </si>
  <si>
    <t>0751 2603 00998</t>
  </si>
  <si>
    <t>23224/26</t>
  </si>
  <si>
    <t>1475 2603 01584</t>
  </si>
  <si>
    <t>23201/26</t>
  </si>
  <si>
    <t>1343 2603 00372</t>
  </si>
  <si>
    <t>231768/26</t>
  </si>
  <si>
    <t>SONNET TEXTILE INDUSTRIES LTD.</t>
  </si>
  <si>
    <t>PREMIER BANK PLC AGRABAD BRANCH</t>
  </si>
  <si>
    <t>2151 2604 00119</t>
  </si>
  <si>
    <t>2151</t>
  </si>
  <si>
    <t>10.09.26</t>
  </si>
  <si>
    <t xml:space="preserve">21218/26 21219/26 21220/26 21221/26 </t>
  </si>
  <si>
    <t>0751 2603 01001</t>
  </si>
  <si>
    <t>211225/26</t>
  </si>
  <si>
    <t>2970 2603 00071</t>
  </si>
  <si>
    <t>21228/26</t>
  </si>
  <si>
    <t>2970 2603 00070</t>
  </si>
  <si>
    <t>23239/26</t>
  </si>
  <si>
    <t>0751 2603 01007</t>
  </si>
  <si>
    <t>23218/26</t>
  </si>
  <si>
    <t>0751 2603 01002</t>
  </si>
  <si>
    <t>23215/26 23216/26 23217/26 23219/26</t>
  </si>
  <si>
    <t>1475 2603 01607</t>
  </si>
  <si>
    <t>23238/26</t>
  </si>
  <si>
    <t>23242/26</t>
  </si>
  <si>
    <t>2970 2603 00069</t>
  </si>
  <si>
    <t>23241/26</t>
  </si>
  <si>
    <t>2970 2603 00068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</si>
</sst>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dd/yy"/>
    <numFmt numFmtId="165" formatCode="[$-409]d\-mm\-yy;@"/>
    <numFmt numFmtId="166" formatCode="[$-409]d\.mm\.yy;@"/>
    <numFmt numFmtId="167" formatCode="_(* #,##0_);_(* \(#,##0\);_(* &quot;-&quot;??_);_(@_)"/>
    <numFmt numFmtId="168" formatCode="dd\.mm\.yy"/>
  </numFmts>
  <fonts count="22" x14ac:knownFonts="1">
    <font>
      <sz val="11"/>
      <color theme="1"/>
      <name val="Vrinda"/>
      <family val="2"/>
      <scheme val="minor"/>
    </font>
    <font>
      <sz val="11"/>
      <color theme="1"/>
      <name val="Vrinda"/>
      <family val="2"/>
      <scheme val="minor"/>
    </font>
    <font>
      <sz val="8"/>
      <name val="Vrinda"/>
      <family val="2"/>
      <scheme val="minor"/>
    </font>
    <font>
      <sz val="12"/>
      <color theme="1"/>
      <name val="Vrinda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indexed="8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2"/>
      <color rgb="FFFF5050"/>
      <name val="Arial"/>
      <family val="2"/>
    </font>
    <font>
      <sz val="9"/>
      <color indexed="81"/>
      <name val="Tahoma"/>
    </font>
    <font>
      <b/>
      <sz val="9"/>
      <color indexed="81"/>
      <name val="Tahoma"/>
    </font>
    <font>
      <sz val="10"/>
      <color theme="1"/>
      <name val="Arial"/>
      <family val="2"/>
    </font>
    <font>
      <sz val="12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77111117893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6" fontId="0" fillId="0" borderId="0" xfId="0" applyNumberFormat="1"/>
    <xf numFmtId="44" fontId="0" fillId="0" borderId="0" xfId="1" applyFont="1"/>
    <xf numFmtId="2" fontId="0" fillId="0" borderId="0" xfId="0" applyNumberFormat="1"/>
    <xf numFmtId="0" fontId="0" fillId="0" borderId="0" xfId="0" applyBorder="1"/>
    <xf numFmtId="0" fontId="0" fillId="0" borderId="0" xfId="0" applyBorder="1" applyAlignment="1">
      <alignment wrapText="1"/>
    </xf>
    <xf numFmtId="164" fontId="0" fillId="0" borderId="0" xfId="0" applyNumberFormat="1" applyBorder="1"/>
    <xf numFmtId="166" fontId="0" fillId="0" borderId="0" xfId="0" applyNumberFormat="1" applyBorder="1"/>
    <xf numFmtId="44" fontId="0" fillId="0" borderId="0" xfId="1" applyFont="1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164" fontId="0" fillId="0" borderId="0" xfId="0" applyNumberFormat="1" applyBorder="1" applyAlignment="1">
      <alignment vertical="center"/>
    </xf>
    <xf numFmtId="166" fontId="0" fillId="0" borderId="0" xfId="0" applyNumberFormat="1" applyBorder="1" applyAlignment="1">
      <alignment vertical="center"/>
    </xf>
    <xf numFmtId="44" fontId="0" fillId="0" borderId="0" xfId="1" applyFont="1" applyBorder="1" applyAlignment="1">
      <alignment vertical="center"/>
    </xf>
    <xf numFmtId="49" fontId="0" fillId="0" borderId="0" xfId="0" applyNumberFormat="1" applyBorder="1" applyAlignment="1">
      <alignment vertical="center"/>
    </xf>
    <xf numFmtId="49" fontId="0" fillId="0" borderId="0" xfId="0" applyNumberFormat="1" applyBorder="1"/>
    <xf numFmtId="49" fontId="0" fillId="0" borderId="0" xfId="0" applyNumberFormat="1"/>
    <xf numFmtId="49" fontId="0" fillId="0" borderId="4" xfId="0" applyNumberFormat="1" applyBorder="1"/>
    <xf numFmtId="0" fontId="0" fillId="0" borderId="5" xfId="0" applyBorder="1" applyAlignment="1">
      <alignment wrapText="1"/>
    </xf>
    <xf numFmtId="44" fontId="0" fillId="0" borderId="0" xfId="1" applyFont="1" applyAlignment="1">
      <alignment horizontal="right"/>
    </xf>
    <xf numFmtId="44" fontId="0" fillId="0" borderId="0" xfId="1" applyFont="1" applyAlignment="1">
      <alignment horizontal="right" vertical="center"/>
    </xf>
    <xf numFmtId="166" fontId="0" fillId="2" borderId="0" xfId="0" applyNumberFormat="1" applyFill="1"/>
    <xf numFmtId="1" fontId="0" fillId="0" borderId="0" xfId="0" applyNumberFormat="1" applyBorder="1" applyAlignment="1">
      <alignment vertical="center"/>
    </xf>
    <xf numFmtId="1" fontId="0" fillId="0" borderId="0" xfId="0" applyNumberFormat="1" applyBorder="1"/>
    <xf numFmtId="1" fontId="0" fillId="0" borderId="0" xfId="0" applyNumberFormat="1"/>
    <xf numFmtId="0" fontId="0" fillId="0" borderId="13" xfId="0" applyBorder="1"/>
    <xf numFmtId="0" fontId="3" fillId="0" borderId="0" xfId="0" applyFont="1"/>
    <xf numFmtId="0" fontId="8" fillId="0" borderId="3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vertical="center" wrapText="1"/>
    </xf>
    <xf numFmtId="49" fontId="8" fillId="0" borderId="3" xfId="0" applyNumberFormat="1" applyFont="1" applyFill="1" applyBorder="1" applyAlignment="1">
      <alignment horizontal="center" vertical="center"/>
    </xf>
    <xf numFmtId="166" fontId="8" fillId="0" borderId="3" xfId="0" applyNumberFormat="1" applyFont="1" applyFill="1" applyBorder="1" applyAlignment="1">
      <alignment horizontal="center" vertical="center"/>
    </xf>
    <xf numFmtId="166" fontId="10" fillId="0" borderId="3" xfId="0" applyNumberFormat="1" applyFont="1" applyFill="1" applyBorder="1" applyAlignment="1">
      <alignment horizontal="center" vertical="center"/>
    </xf>
    <xf numFmtId="44" fontId="8" fillId="0" borderId="3" xfId="1" applyFont="1" applyFill="1" applyBorder="1" applyAlignment="1">
      <alignment horizontal="right" vertical="center"/>
    </xf>
    <xf numFmtId="44" fontId="8" fillId="0" borderId="3" xfId="1" applyFont="1" applyFill="1" applyBorder="1" applyAlignment="1">
      <alignment vertical="center"/>
    </xf>
    <xf numFmtId="167" fontId="8" fillId="0" borderId="3" xfId="2" applyNumberFormat="1" applyFont="1" applyFill="1" applyBorder="1" applyAlignment="1">
      <alignment vertical="center"/>
    </xf>
    <xf numFmtId="0" fontId="8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vertical="center" wrapText="1"/>
    </xf>
    <xf numFmtId="166" fontId="11" fillId="0" borderId="3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left" vertical="center" wrapText="1"/>
    </xf>
    <xf numFmtId="49" fontId="8" fillId="0" borderId="3" xfId="0" applyNumberFormat="1" applyFont="1" applyBorder="1" applyAlignment="1">
      <alignment horizontal="center" vertical="center"/>
    </xf>
    <xf numFmtId="166" fontId="8" fillId="2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49" fontId="9" fillId="0" borderId="3" xfId="0" applyNumberFormat="1" applyFont="1" applyBorder="1" applyAlignment="1">
      <alignment horizontal="center" vertical="center"/>
    </xf>
    <xf numFmtId="168" fontId="11" fillId="0" borderId="3" xfId="0" applyNumberFormat="1" applyFont="1" applyFill="1" applyBorder="1" applyAlignment="1">
      <alignment horizontal="center" vertical="center"/>
    </xf>
    <xf numFmtId="44" fontId="11" fillId="0" borderId="3" xfId="1" applyFont="1" applyFill="1" applyBorder="1" applyAlignment="1">
      <alignment vertical="center"/>
    </xf>
    <xf numFmtId="44" fontId="8" fillId="0" borderId="3" xfId="1" applyFont="1" applyFill="1" applyBorder="1" applyAlignment="1">
      <alignment horizontal="right" vertical="center" wrapText="1"/>
    </xf>
    <xf numFmtId="0" fontId="8" fillId="0" borderId="3" xfId="0" applyFont="1" applyBorder="1" applyAlignment="1">
      <alignment vertical="center" wrapText="1"/>
    </xf>
    <xf numFmtId="49" fontId="8" fillId="0" borderId="10" xfId="0" applyNumberFormat="1" applyFont="1" applyFill="1" applyBorder="1" applyAlignment="1">
      <alignment horizontal="center" vertical="center"/>
    </xf>
    <xf numFmtId="49" fontId="8" fillId="0" borderId="8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8" fillId="0" borderId="3" xfId="0" applyNumberFormat="1" applyFont="1" applyFill="1" applyBorder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6" fontId="8" fillId="0" borderId="1" xfId="0" applyNumberFormat="1" applyFont="1" applyFill="1" applyBorder="1" applyAlignment="1">
      <alignment horizontal="center" vertical="center"/>
    </xf>
    <xf numFmtId="166" fontId="11" fillId="0" borderId="1" xfId="0" applyNumberFormat="1" applyFont="1" applyFill="1" applyBorder="1" applyAlignment="1">
      <alignment horizontal="center" vertical="center"/>
    </xf>
    <xf numFmtId="44" fontId="8" fillId="0" borderId="1" xfId="1" applyFont="1" applyFill="1" applyBorder="1" applyAlignment="1">
      <alignment horizontal="right" vertical="center"/>
    </xf>
    <xf numFmtId="44" fontId="8" fillId="0" borderId="1" xfId="1" applyFont="1" applyFill="1" applyBorder="1" applyAlignment="1">
      <alignment vertical="center"/>
    </xf>
    <xf numFmtId="1" fontId="8" fillId="0" borderId="1" xfId="0" applyNumberFormat="1" applyFont="1" applyFill="1" applyBorder="1" applyAlignment="1">
      <alignment vertical="center"/>
    </xf>
    <xf numFmtId="166" fontId="8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10" fillId="0" borderId="1" xfId="0" applyNumberFormat="1" applyFont="1" applyFill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166" fontId="10" fillId="0" borderId="6" xfId="0" applyNumberFormat="1" applyFont="1" applyFill="1" applyBorder="1" applyAlignment="1">
      <alignment horizontal="center" vertical="center"/>
    </xf>
    <xf numFmtId="166" fontId="11" fillId="0" borderId="6" xfId="0" applyNumberFormat="1" applyFont="1" applyFill="1" applyBorder="1" applyAlignment="1">
      <alignment horizontal="center" vertical="center"/>
    </xf>
    <xf numFmtId="44" fontId="8" fillId="0" borderId="6" xfId="1" applyFont="1" applyFill="1" applyBorder="1" applyAlignment="1">
      <alignment horizontal="right" vertical="center"/>
    </xf>
    <xf numFmtId="44" fontId="8" fillId="0" borderId="6" xfId="1" applyFont="1" applyFill="1" applyBorder="1" applyAlignment="1">
      <alignment vertical="center"/>
    </xf>
    <xf numFmtId="1" fontId="8" fillId="0" borderId="6" xfId="0" applyNumberFormat="1" applyFont="1" applyFill="1" applyBorder="1" applyAlignment="1">
      <alignment vertical="center"/>
    </xf>
    <xf numFmtId="166" fontId="8" fillId="2" borderId="6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9" fillId="0" borderId="11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166" fontId="12" fillId="0" borderId="3" xfId="0" applyNumberFormat="1" applyFont="1" applyFill="1" applyBorder="1" applyAlignment="1">
      <alignment horizontal="center" vertical="center"/>
    </xf>
    <xf numFmtId="44" fontId="9" fillId="0" borderId="3" xfId="1" applyFont="1" applyFill="1" applyBorder="1" applyAlignment="1">
      <alignment vertical="center"/>
    </xf>
    <xf numFmtId="167" fontId="9" fillId="0" borderId="3" xfId="2" applyNumberFormat="1" applyFont="1" applyFill="1" applyBorder="1" applyAlignment="1">
      <alignment vertical="center"/>
    </xf>
    <xf numFmtId="166" fontId="9" fillId="2" borderId="3" xfId="0" applyNumberFormat="1" applyFont="1" applyFill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49" fontId="9" fillId="3" borderId="11" xfId="0" applyNumberFormat="1" applyFont="1" applyFill="1" applyBorder="1" applyAlignment="1">
      <alignment horizontal="center" vertical="center"/>
    </xf>
    <xf numFmtId="49" fontId="9" fillId="2" borderId="11" xfId="0" applyNumberFormat="1" applyFont="1" applyFill="1" applyBorder="1" applyAlignment="1">
      <alignment horizontal="center" vertical="center"/>
    </xf>
    <xf numFmtId="166" fontId="13" fillId="0" borderId="3" xfId="0" applyNumberFormat="1" applyFont="1" applyFill="1" applyBorder="1" applyAlignment="1">
      <alignment horizontal="center" vertical="center"/>
    </xf>
    <xf numFmtId="166" fontId="9" fillId="0" borderId="3" xfId="0" applyNumberFormat="1" applyFont="1" applyFill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2" fontId="9" fillId="2" borderId="12" xfId="0" applyNumberFormat="1" applyFont="1" applyFill="1" applyBorder="1" applyAlignment="1">
      <alignment horizontal="center" vertical="center"/>
    </xf>
    <xf numFmtId="49" fontId="9" fillId="2" borderId="12" xfId="0" applyNumberFormat="1" applyFont="1" applyFill="1" applyBorder="1" applyAlignment="1">
      <alignment horizontal="center" vertical="center"/>
    </xf>
    <xf numFmtId="49" fontId="9" fillId="0" borderId="12" xfId="0" applyNumberFormat="1" applyFont="1" applyFill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166" fontId="9" fillId="0" borderId="3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vertical="center" wrapText="1"/>
    </xf>
    <xf numFmtId="49" fontId="10" fillId="0" borderId="1" xfId="0" applyNumberFormat="1" applyFont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right" vertical="center"/>
    </xf>
    <xf numFmtId="49" fontId="8" fillId="3" borderId="1" xfId="0" applyNumberFormat="1" applyFont="1" applyFill="1" applyBorder="1" applyAlignment="1">
      <alignment horizontal="center" vertical="center"/>
    </xf>
    <xf numFmtId="44" fontId="10" fillId="0" borderId="1" xfId="1" applyFont="1" applyFill="1" applyBorder="1" applyAlignment="1">
      <alignment vertical="center"/>
    </xf>
    <xf numFmtId="165" fontId="8" fillId="0" borderId="1" xfId="0" applyNumberFormat="1" applyFont="1" applyFill="1" applyBorder="1" applyAlignment="1">
      <alignment horizontal="center" vertical="center"/>
    </xf>
    <xf numFmtId="44" fontId="8" fillId="0" borderId="1" xfId="1" applyNumberFormat="1" applyFont="1" applyFill="1" applyBorder="1" applyAlignment="1">
      <alignment vertical="center"/>
    </xf>
    <xf numFmtId="166" fontId="8" fillId="0" borderId="1" xfId="0" applyNumberFormat="1" applyFont="1" applyFill="1" applyBorder="1" applyAlignment="1">
      <alignment vertical="center"/>
    </xf>
    <xf numFmtId="0" fontId="9" fillId="0" borderId="0" xfId="0" applyFont="1"/>
    <xf numFmtId="49" fontId="9" fillId="0" borderId="0" xfId="0" applyNumberFormat="1" applyFont="1"/>
    <xf numFmtId="0" fontId="9" fillId="0" borderId="0" xfId="0" applyNumberFormat="1" applyFont="1"/>
    <xf numFmtId="0" fontId="9" fillId="0" borderId="0" xfId="0" applyNumberFormat="1" applyFont="1" applyAlignment="1">
      <alignment wrapText="1"/>
    </xf>
    <xf numFmtId="49" fontId="8" fillId="2" borderId="1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justify" wrapText="1"/>
    </xf>
    <xf numFmtId="0" fontId="8" fillId="0" borderId="1" xfId="0" applyFont="1" applyBorder="1" applyAlignment="1">
      <alignment vertical="justify" wrapText="1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166" fontId="15" fillId="0" borderId="2" xfId="0" applyNumberFormat="1" applyFont="1" applyBorder="1" applyAlignment="1">
      <alignment horizontal="center" vertical="center"/>
    </xf>
    <xf numFmtId="44" fontId="15" fillId="0" borderId="2" xfId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0" fontId="15" fillId="0" borderId="0" xfId="0" applyFont="1"/>
    <xf numFmtId="0" fontId="15" fillId="0" borderId="9" xfId="0" applyFont="1" applyBorder="1" applyAlignment="1">
      <alignment horizontal="center" vertical="center"/>
    </xf>
    <xf numFmtId="166" fontId="15" fillId="2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44" fontId="15" fillId="0" borderId="0" xfId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49" fontId="10" fillId="0" borderId="3" xfId="0" applyNumberFormat="1" applyFont="1" applyFill="1" applyBorder="1" applyAlignment="1">
      <alignment horizontal="center" vertical="center"/>
    </xf>
    <xf numFmtId="49" fontId="16" fillId="0" borderId="3" xfId="0" applyNumberFormat="1" applyFont="1" applyFill="1" applyBorder="1" applyAlignment="1">
      <alignment horizontal="center" vertical="center"/>
    </xf>
    <xf numFmtId="44" fontId="10" fillId="0" borderId="3" xfId="1" applyFont="1" applyFill="1" applyBorder="1" applyAlignment="1">
      <alignment vertical="center"/>
    </xf>
    <xf numFmtId="49" fontId="9" fillId="0" borderId="3" xfId="0" applyNumberFormat="1" applyFont="1" applyFill="1" applyBorder="1" applyAlignment="1">
      <alignment horizontal="center" vertical="center"/>
    </xf>
    <xf numFmtId="166" fontId="17" fillId="0" borderId="3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vertical="center" wrapText="1"/>
    </xf>
    <xf numFmtId="49" fontId="20" fillId="0" borderId="3" xfId="0" applyNumberFormat="1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4" xfId="0" applyFont="1" applyBorder="1" applyAlignment="1">
      <alignment vertical="center" wrapText="1"/>
    </xf>
    <xf numFmtId="49" fontId="8" fillId="0" borderId="14" xfId="0" applyNumberFormat="1" applyFont="1" applyBorder="1" applyAlignment="1">
      <alignment horizontal="center" vertical="center"/>
    </xf>
    <xf numFmtId="165" fontId="8" fillId="0" borderId="14" xfId="0" applyNumberFormat="1" applyFont="1" applyFill="1" applyBorder="1" applyAlignment="1">
      <alignment horizontal="center" vertical="center"/>
    </xf>
    <xf numFmtId="166" fontId="8" fillId="0" borderId="14" xfId="0" applyNumberFormat="1" applyFont="1" applyFill="1" applyBorder="1" applyAlignment="1">
      <alignment horizontal="center" vertical="center"/>
    </xf>
    <xf numFmtId="2" fontId="8" fillId="0" borderId="14" xfId="0" applyNumberFormat="1" applyFont="1" applyFill="1" applyBorder="1" applyAlignment="1">
      <alignment vertical="center"/>
    </xf>
    <xf numFmtId="166" fontId="8" fillId="0" borderId="14" xfId="0" applyNumberFormat="1" applyFont="1" applyFill="1" applyBorder="1" applyAlignment="1">
      <alignment vertical="center"/>
    </xf>
    <xf numFmtId="0" fontId="8" fillId="0" borderId="14" xfId="0" applyNumberFormat="1" applyFont="1" applyBorder="1" applyAlignment="1">
      <alignment vertical="center"/>
    </xf>
    <xf numFmtId="44" fontId="8" fillId="0" borderId="14" xfId="0" applyNumberFormat="1" applyFont="1" applyFill="1" applyBorder="1" applyAlignment="1">
      <alignment horizontal="right" vertical="center"/>
    </xf>
    <xf numFmtId="44" fontId="8" fillId="0" borderId="14" xfId="0" applyNumberFormat="1" applyFont="1" applyFill="1" applyBorder="1" applyAlignment="1">
      <alignment vertical="center"/>
    </xf>
  </cellXfs>
  <cellStyles count="3">
    <cellStyle name="Comma" xfId="2" builtinId="3"/>
    <cellStyle name="Currency" xfId="1" builtinId="4"/>
    <cellStyle name="Normal" xfId="0" builtinId="0"/>
  </cellStyles>
  <dxfs count="10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[$-409]d\.mm\.yy;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[$-409]d\.mm\.yy;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[$-409]d\.mm\.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[$-409]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</dxf>
    <dxf>
      <fill>
        <patternFill>
          <bgColor rgb="FFFFB7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B7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D7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[$-409]d\.mm\.yy;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[$-409]d\.mm\.yy;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[$-409]d\.mm\.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[$-409]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0" formatCode="General"/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166" formatCode="[$-409]d\.mm\.yy;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166" formatCode="[$-409]d\.mm\.yy;@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166" formatCode="[$-409]d\.mm\.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165" formatCode="[$-409]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[$-409]d\.mm\.yy;@"/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[$-409]d\.mm\.yy;@"/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[$-409]d\.mm\.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[$-409]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050"/>
      <color rgb="FFFF7D7D"/>
      <color rgb="FFFF9393"/>
      <color rgb="FFFF3300"/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300-000000000000}" autoFormatId="16" applyNumberFormats="0" applyBorderFormats="0" applyFontFormats="0" applyPatternFormats="0" applyAlignmentFormats="0" applyWidthHeightFormats="0">
  <queryTableRefresh nextId="4">
    <queryTableFields count="3">
      <queryTableField id="1" name="Applicant Name" tableColumnId="1"/>
      <queryTableField id="2" name="Bank" tableColumnId="2"/>
      <queryTableField id="3" name="Marketing Person" tableColumnId="3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769" totalsRowCount="1" headerRowDxfId="106" dataDxfId="104" headerRowBorderDxfId="105">
  <tableColumns count="15">
    <tableColumn id="1" xr3:uid="{00000000-0010-0000-0000-000001000000}" name="Sl No" dataDxfId="103" totalsRowDxfId="14"/>
    <tableColumn id="2" xr3:uid="{00000000-0010-0000-0000-000002000000}" name="PI NO" dataDxfId="102" totalsRowDxfId="13"/>
    <tableColumn id="3" xr3:uid="{00000000-0010-0000-0000-000003000000}" name="Applicant Name" dataDxfId="101" totalsRowDxfId="12"/>
    <tableColumn id="4" xr3:uid="{00000000-0010-0000-0000-000004000000}" name="Issuing Bank" dataDxfId="100" totalsRowDxfId="11"/>
    <tableColumn id="5" xr3:uid="{00000000-0010-0000-0000-000005000000}" name="LC Number" dataDxfId="99" totalsRowDxfId="10"/>
    <tableColumn id="6" xr3:uid="{00000000-0010-0000-0000-000006000000}" name="LC Date" dataDxfId="98" totalsRowDxfId="9"/>
    <tableColumn id="7" xr3:uid="{00000000-0010-0000-0000-000007000000}" name="LC Rev Date" dataDxfId="97" totalsRowDxfId="8"/>
    <tableColumn id="14" xr3:uid="{00000000-0010-0000-0000-00000E000000}" name="LC Value" dataDxfId="96" totalsRowDxfId="7" dataCellStyle="Currency"/>
    <tableColumn id="8" xr3:uid="{00000000-0010-0000-0000-000008000000}" name="Amd Value" dataDxfId="95" totalsRowDxfId="6" dataCellStyle="Currency"/>
    <tableColumn id="15" xr3:uid="{00000000-0010-0000-0000-00000F000000}" name="Total Value" dataDxfId="94" totalsRowDxfId="5" dataCellStyle="Currency">
      <calculatedColumnFormula>SUM(Table1[[#This Row],[LC Value]:[Amd Value]])</calculatedColumnFormula>
    </tableColumn>
    <tableColumn id="9" xr3:uid="{00000000-0010-0000-0000-000009000000}" name="Unit Price" dataDxfId="93" totalsRowDxfId="4" dataCellStyle="Currency"/>
    <tableColumn id="10" xr3:uid="{00000000-0010-0000-0000-00000A000000}" name="Quantity" dataDxfId="92" totalsRowDxfId="3"/>
    <tableColumn id="11" xr3:uid="{00000000-0010-0000-0000-00000B000000}" name="Shipment Date" dataDxfId="91" totalsRowDxfId="2"/>
    <tableColumn id="12" xr3:uid="{00000000-0010-0000-0000-00000C000000}" name="Expiry Date" dataDxfId="90" totalsRowDxfId="1"/>
    <tableColumn id="13" xr3:uid="{00000000-0010-0000-0000-00000D000000}" name="Marketing Person" dataDxfId="89" totalsRowDxfId="0">
      <calculatedColumnFormula>VLOOKUP($C:$C,Data!A1:$C$209,3,FALSE)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4" displayName="Table14" ref="A1:O221" totalsRowShown="0" headerRowDxfId="88" dataDxfId="86" headerRowBorderDxfId="87">
  <tableColumns count="15">
    <tableColumn id="1" xr3:uid="{00000000-0010-0000-0100-000001000000}" name="Sl No" dataDxfId="85"/>
    <tableColumn id="2" xr3:uid="{00000000-0010-0000-0100-000002000000}" name="PI NO" dataDxfId="84"/>
    <tableColumn id="3" xr3:uid="{00000000-0010-0000-0100-000003000000}" name="Applicant Name" dataDxfId="83"/>
    <tableColumn id="4" xr3:uid="{00000000-0010-0000-0100-000004000000}" name="Issuing Bank" dataDxfId="82"/>
    <tableColumn id="5" xr3:uid="{00000000-0010-0000-0100-000005000000}" name="LC Number" dataDxfId="81"/>
    <tableColumn id="6" xr3:uid="{00000000-0010-0000-0100-000006000000}" name="LC Date" dataDxfId="80"/>
    <tableColumn id="7" xr3:uid="{00000000-0010-0000-0100-000007000000}" name="LC Rev Date" dataDxfId="79"/>
    <tableColumn id="14" xr3:uid="{00000000-0010-0000-0100-00000E000000}" name="LC Value" dataDxfId="78" dataCellStyle="Currency"/>
    <tableColumn id="8" xr3:uid="{00000000-0010-0000-0100-000008000000}" name="Amd Value" dataDxfId="77" dataCellStyle="Currency"/>
    <tableColumn id="15" xr3:uid="{00000000-0010-0000-0100-00000F000000}" name="Total" dataDxfId="76" dataCellStyle="Currency">
      <calculatedColumnFormula>SUM(Table14[[#This Row],[LC Value]:[Amd Value]])</calculatedColumnFormula>
    </tableColumn>
    <tableColumn id="9" xr3:uid="{00000000-0010-0000-0100-000009000000}" name="Unit Price" dataDxfId="75" dataCellStyle="Currency"/>
    <tableColumn id="10" xr3:uid="{00000000-0010-0000-0100-00000A000000}" name="Quantity" dataDxfId="74"/>
    <tableColumn id="11" xr3:uid="{00000000-0010-0000-0100-00000B000000}" name="Shipment Date" dataDxfId="73"/>
    <tableColumn id="12" xr3:uid="{00000000-0010-0000-0100-00000C000000}" name="Expiry Date" dataDxfId="72"/>
    <tableColumn id="13" xr3:uid="{00000000-0010-0000-0100-00000D000000}" name="Marketing Person" dataDxfId="71">
      <calculatedColumnFormula>IFERROR(_xlfn.XLOOKUP(C2, Data!$A$2:$A$236, Data!$C$2:$C$236), "")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145" displayName="Table145" ref="A1:O76" totalsRowShown="0" headerRowDxfId="70" dataDxfId="69">
  <tableColumns count="15">
    <tableColumn id="1" xr3:uid="{00000000-0010-0000-0200-000001000000}" name="Sl No" dataDxfId="68"/>
    <tableColumn id="2" xr3:uid="{00000000-0010-0000-0200-000002000000}" name="PI NO" dataDxfId="67"/>
    <tableColumn id="3" xr3:uid="{00000000-0010-0000-0200-000003000000}" name="Applicant Name" dataDxfId="66"/>
    <tableColumn id="4" xr3:uid="{00000000-0010-0000-0200-000004000000}" name="Issuing Bank" dataDxfId="65"/>
    <tableColumn id="5" xr3:uid="{00000000-0010-0000-0200-000005000000}" name="LC Number" dataDxfId="64"/>
    <tableColumn id="6" xr3:uid="{00000000-0010-0000-0200-000006000000}" name="LC Date" dataDxfId="63"/>
    <tableColumn id="7" xr3:uid="{00000000-0010-0000-0200-000007000000}" name="LC Rev Date" dataDxfId="62"/>
    <tableColumn id="14" xr3:uid="{00000000-0010-0000-0200-00000E000000}" name="LC Value" dataDxfId="61" dataCellStyle="Currency"/>
    <tableColumn id="8" xr3:uid="{00000000-0010-0000-0200-000008000000}" name="Amd Value" dataDxfId="60" dataCellStyle="Currency"/>
    <tableColumn id="15" xr3:uid="{00000000-0010-0000-0200-00000F000000}" name="Total" dataDxfId="59" dataCellStyle="Currency">
      <calculatedColumnFormula>SUM(Table145[[#This Row],[LC Value]:[Amd Value]])</calculatedColumnFormula>
    </tableColumn>
    <tableColumn id="9" xr3:uid="{00000000-0010-0000-0200-000009000000}" name="Unit Price" dataDxfId="58" dataCellStyle="Currency"/>
    <tableColumn id="10" xr3:uid="{00000000-0010-0000-0200-00000A000000}" name="Quantity" dataDxfId="57"/>
    <tableColumn id="11" xr3:uid="{00000000-0010-0000-0200-00000B000000}" name="Shipment Date" dataDxfId="56"/>
    <tableColumn id="12" xr3:uid="{00000000-0010-0000-0200-00000C000000}" name="Expiry Date" dataDxfId="55"/>
    <tableColumn id="13" xr3:uid="{00000000-0010-0000-0200-00000D000000}" name="Marketing Person" dataDxfId="54">
      <calculatedColumnFormula>IFERROR(_xlfn.XLOOKUP(C2, Data!$A$2:$A$236, Data!$C$2:$C$236), "")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4_1" displayName="Table4_1" ref="A1:C208" tableType="queryTable" totalsRowShown="0" headerRowDxfId="53" dataDxfId="52">
  <autoFilter ref="A1:C208" xr:uid="{00000000-0009-0000-0100-000005000000}"/>
  <tableColumns count="3">
    <tableColumn id="1" xr3:uid="{00000000-0010-0000-0300-000001000000}" uniqueName="1" name="Applicant Name" queryTableFieldId="1" dataDxfId="51"/>
    <tableColumn id="2" xr3:uid="{00000000-0010-0000-0300-000002000000}" uniqueName="2" name="Bank" queryTableFieldId="2" dataDxfId="50"/>
    <tableColumn id="3" xr3:uid="{00000000-0010-0000-0300-000003000000}" uniqueName="3" name="Marketing Person" queryTableFieldId="3" dataDxfId="4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le2" displayName="Table2" ref="E1:F101" totalsRowShown="0" headerRowDxfId="48" dataDxfId="47">
  <autoFilter ref="E1:F101" xr:uid="{00000000-0009-0000-0100-000002000000}"/>
  <tableColumns count="2">
    <tableColumn id="1" xr3:uid="{00000000-0010-0000-0400-000001000000}" name="Bank Keyword" dataDxfId="46"/>
    <tableColumn id="2" xr3:uid="{00000000-0010-0000-0400-000002000000}" name="LC Prefix" dataDxfId="4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769"/>
  <sheetViews>
    <sheetView tabSelected="1" showRuler="0" view="pageBreakPreview" topLeftCell="A759" zoomScale="90" zoomScaleNormal="90" zoomScaleSheetLayoutView="90" zoomScalePageLayoutView="90" workbookViewId="0">
      <selection activeCell="H771" sqref="H771"/>
    </sheetView>
  </sheetViews>
  <sheetFormatPr defaultRowHeight="42" customHeight="1" x14ac:dyDescent="0.35"/>
  <cols>
    <col min="1" max="1" width="5.33203125" customWidth="1"/>
    <col min="2" max="2" width="9.44140625" style="1" customWidth="1"/>
    <col min="3" max="3" width="24.88671875" style="1" customWidth="1"/>
    <col min="4" max="4" width="27.6640625" style="20" bestFit="1" customWidth="1"/>
    <col min="5" max="5" width="16.88671875" style="19" bestFit="1" customWidth="1"/>
    <col min="6" max="6" width="9.44140625" style="2" bestFit="1" customWidth="1"/>
    <col min="7" max="7" width="12" style="3" bestFit="1" customWidth="1"/>
    <col min="8" max="8" width="15.6640625" style="21" bestFit="1" customWidth="1"/>
    <col min="9" max="9" width="14.44140625" style="4" bestFit="1" customWidth="1"/>
    <col min="10" max="10" width="15.6640625" style="22" bestFit="1" customWidth="1"/>
    <col min="11" max="11" width="11.88671875" style="4" customWidth="1"/>
    <col min="12" max="12" width="10.88671875" style="5" customWidth="1"/>
    <col min="13" max="13" width="14.5546875" style="23" bestFit="1" customWidth="1"/>
    <col min="14" max="14" width="11.33203125" style="23" bestFit="1" customWidth="1"/>
    <col min="15" max="15" width="16.5546875" customWidth="1"/>
  </cols>
  <sheetData>
    <row r="1" spans="1:15" s="125" customFormat="1" ht="27.75" customHeight="1" x14ac:dyDescent="0.35">
      <c r="A1" s="123" t="s">
        <v>7</v>
      </c>
      <c r="B1" s="116" t="s">
        <v>0</v>
      </c>
      <c r="C1" s="116" t="s">
        <v>1</v>
      </c>
      <c r="D1" s="116" t="s">
        <v>2</v>
      </c>
      <c r="E1" s="117" t="s">
        <v>11</v>
      </c>
      <c r="F1" s="118" t="s">
        <v>10</v>
      </c>
      <c r="G1" s="119" t="s">
        <v>9</v>
      </c>
      <c r="H1" s="120" t="s">
        <v>13</v>
      </c>
      <c r="I1" s="120" t="s">
        <v>14</v>
      </c>
      <c r="J1" s="120" t="s">
        <v>1035</v>
      </c>
      <c r="K1" s="120" t="s">
        <v>3</v>
      </c>
      <c r="L1" s="121" t="s">
        <v>4</v>
      </c>
      <c r="M1" s="124" t="s">
        <v>5</v>
      </c>
      <c r="N1" s="124" t="s">
        <v>6</v>
      </c>
      <c r="O1" s="115" t="s">
        <v>8</v>
      </c>
    </row>
    <row r="2" spans="1:15" ht="45" x14ac:dyDescent="0.35">
      <c r="A2" s="41">
        <f t="shared" ref="A2:A140" si="0">A3+1</f>
        <v>767</v>
      </c>
      <c r="B2" s="30" t="s">
        <v>2875</v>
      </c>
      <c r="C2" s="31" t="s">
        <v>199</v>
      </c>
      <c r="D2" s="29" t="s">
        <v>353</v>
      </c>
      <c r="E2" s="132" t="s">
        <v>2876</v>
      </c>
      <c r="F2" s="33" t="s">
        <v>2638</v>
      </c>
      <c r="G2" s="34">
        <v>46198</v>
      </c>
      <c r="H2" s="35">
        <v>82335</v>
      </c>
      <c r="I2" s="36"/>
      <c r="J2" s="35">
        <f>SUM(Table1[[#This Row],[LC Value]:[Amd Value]])</f>
        <v>82335</v>
      </c>
      <c r="K2" s="36">
        <v>3.3</v>
      </c>
      <c r="L2" s="37">
        <v>24950</v>
      </c>
      <c r="M2" s="33" t="s">
        <v>2725</v>
      </c>
      <c r="N2" s="33" t="s">
        <v>2859</v>
      </c>
      <c r="O2" s="38" t="str">
        <f>IFERROR(_xlfn.XLOOKUP(C2, Data!$A$2:$A$236, Data!$C$2:$C$236), "")</f>
        <v>MD. Sir</v>
      </c>
    </row>
    <row r="3" spans="1:15" s="28" customFormat="1" ht="45" x14ac:dyDescent="0.35">
      <c r="A3" s="41">
        <f t="shared" si="0"/>
        <v>766</v>
      </c>
      <c r="B3" s="30" t="s">
        <v>2873</v>
      </c>
      <c r="C3" s="31" t="s">
        <v>199</v>
      </c>
      <c r="D3" s="29" t="s">
        <v>353</v>
      </c>
      <c r="E3" s="132" t="s">
        <v>2874</v>
      </c>
      <c r="F3" s="33" t="s">
        <v>2638</v>
      </c>
      <c r="G3" s="34">
        <v>46198</v>
      </c>
      <c r="H3" s="35">
        <v>32400</v>
      </c>
      <c r="I3" s="36"/>
      <c r="J3" s="35">
        <f>SUM(Table1[[#This Row],[LC Value]:[Amd Value]])</f>
        <v>32400</v>
      </c>
      <c r="K3" s="36">
        <v>3.6</v>
      </c>
      <c r="L3" s="37">
        <v>9000</v>
      </c>
      <c r="M3" s="33" t="s">
        <v>2725</v>
      </c>
      <c r="N3" s="33" t="s">
        <v>2859</v>
      </c>
      <c r="O3" s="38" t="str">
        <f>IFERROR(_xlfn.XLOOKUP(C3, Data!$A$2:$A$236, Data!$C$2:$C$236), "")</f>
        <v>MD. Sir</v>
      </c>
    </row>
    <row r="4" spans="1:15" ht="41.25" customHeight="1" x14ac:dyDescent="0.35">
      <c r="A4" s="41">
        <f t="shared" si="0"/>
        <v>765</v>
      </c>
      <c r="B4" s="30" t="s">
        <v>2872</v>
      </c>
      <c r="C4" s="31" t="s">
        <v>200</v>
      </c>
      <c r="D4" s="29" t="s">
        <v>32</v>
      </c>
      <c r="E4" s="132" t="s">
        <v>2792</v>
      </c>
      <c r="F4" s="33" t="s">
        <v>2638</v>
      </c>
      <c r="G4" s="34">
        <v>46198</v>
      </c>
      <c r="H4" s="35">
        <v>27840</v>
      </c>
      <c r="I4" s="36"/>
      <c r="J4" s="35">
        <f>SUM(Table1[[#This Row],[LC Value]:[Amd Value]])</f>
        <v>27840</v>
      </c>
      <c r="K4" s="36">
        <v>3.35</v>
      </c>
      <c r="L4" s="37">
        <v>8700</v>
      </c>
      <c r="M4" s="33" t="s">
        <v>2725</v>
      </c>
      <c r="N4" s="33" t="s">
        <v>2859</v>
      </c>
      <c r="O4" s="38" t="str">
        <f>IFERROR(_xlfn.XLOOKUP(C4, Data!$A$2:$A$236, Data!$C$2:$C$236), "")</f>
        <v>MD. Sir</v>
      </c>
    </row>
    <row r="5" spans="1:15" ht="60" x14ac:dyDescent="0.35">
      <c r="A5" s="41">
        <f t="shared" si="0"/>
        <v>764</v>
      </c>
      <c r="B5" s="30" t="s">
        <v>2870</v>
      </c>
      <c r="C5" s="31" t="s">
        <v>200</v>
      </c>
      <c r="D5" s="29" t="s">
        <v>135</v>
      </c>
      <c r="E5" s="132" t="s">
        <v>2871</v>
      </c>
      <c r="F5" s="33" t="s">
        <v>2638</v>
      </c>
      <c r="G5" s="34">
        <v>46198</v>
      </c>
      <c r="H5" s="35">
        <f>71297.5+86262.5+112357.5+28382.5</f>
        <v>298300</v>
      </c>
      <c r="I5" s="36"/>
      <c r="J5" s="35">
        <f>SUM(Table1[[#This Row],[LC Value]:[Amd Value]])</f>
        <v>298300</v>
      </c>
      <c r="K5" s="36">
        <v>3.35</v>
      </c>
      <c r="L5" s="37">
        <v>27850</v>
      </c>
      <c r="M5" s="33" t="s">
        <v>2725</v>
      </c>
      <c r="N5" s="33" t="s">
        <v>2859</v>
      </c>
      <c r="O5" s="38" t="str">
        <f>IFERROR(_xlfn.XLOOKUP(C5, Data!$A$2:$A$236, Data!$C$2:$C$236), "")</f>
        <v>MD. Sir</v>
      </c>
    </row>
    <row r="6" spans="1:15" ht="42" customHeight="1" x14ac:dyDescent="0.35">
      <c r="A6" s="41">
        <f t="shared" si="0"/>
        <v>763</v>
      </c>
      <c r="B6" s="30" t="s">
        <v>2868</v>
      </c>
      <c r="C6" s="31" t="s">
        <v>200</v>
      </c>
      <c r="D6" s="29" t="s">
        <v>98</v>
      </c>
      <c r="E6" s="132" t="s">
        <v>2869</v>
      </c>
      <c r="F6" s="33" t="s">
        <v>2638</v>
      </c>
      <c r="G6" s="34">
        <v>46198</v>
      </c>
      <c r="H6" s="35">
        <v>65722.5</v>
      </c>
      <c r="I6" s="36"/>
      <c r="J6" s="35">
        <f>SUM(Table1[[#This Row],[LC Value]:[Amd Value]])</f>
        <v>65722.5</v>
      </c>
      <c r="K6" s="36">
        <v>3.45</v>
      </c>
      <c r="L6" s="37">
        <v>19050</v>
      </c>
      <c r="M6" s="33" t="s">
        <v>2725</v>
      </c>
      <c r="N6" s="33" t="s">
        <v>2859</v>
      </c>
      <c r="O6" s="38" t="str">
        <f>IFERROR(_xlfn.XLOOKUP(C6, Data!$A$2:$A$236, Data!$C$2:$C$236), "")</f>
        <v>MD. Sir</v>
      </c>
    </row>
    <row r="7" spans="1:15" ht="42" customHeight="1" x14ac:dyDescent="0.35">
      <c r="A7" s="41">
        <f t="shared" si="0"/>
        <v>762</v>
      </c>
      <c r="B7" s="30" t="s">
        <v>2866</v>
      </c>
      <c r="C7" s="31" t="s">
        <v>199</v>
      </c>
      <c r="D7" s="29" t="s">
        <v>98</v>
      </c>
      <c r="E7" s="132" t="s">
        <v>2867</v>
      </c>
      <c r="F7" s="33" t="s">
        <v>2638</v>
      </c>
      <c r="G7" s="34">
        <v>46198</v>
      </c>
      <c r="H7" s="35">
        <v>139612.5</v>
      </c>
      <c r="I7" s="36"/>
      <c r="J7" s="35">
        <f>SUM(Table1[[#This Row],[LC Value]:[Amd Value]])</f>
        <v>139612.5</v>
      </c>
      <c r="K7" s="36">
        <v>2.95</v>
      </c>
      <c r="L7" s="37">
        <v>46850</v>
      </c>
      <c r="M7" s="33" t="s">
        <v>2725</v>
      </c>
      <c r="N7" s="33" t="s">
        <v>2859</v>
      </c>
      <c r="O7" s="38" t="str">
        <f>IFERROR(_xlfn.XLOOKUP(C7, Data!$A$2:$A$236, Data!$C$2:$C$236), "")</f>
        <v>MD. Sir</v>
      </c>
    </row>
    <row r="8" spans="1:15" ht="42" customHeight="1" x14ac:dyDescent="0.35">
      <c r="A8" s="100">
        <f t="shared" si="0"/>
        <v>761</v>
      </c>
      <c r="B8" s="30" t="s">
        <v>2854</v>
      </c>
      <c r="C8" s="31" t="s">
        <v>2855</v>
      </c>
      <c r="D8" s="29" t="s">
        <v>2856</v>
      </c>
      <c r="E8" s="132" t="s">
        <v>2857</v>
      </c>
      <c r="F8" s="33" t="s">
        <v>2234</v>
      </c>
      <c r="G8" s="34">
        <v>46197</v>
      </c>
      <c r="H8" s="35">
        <v>35900</v>
      </c>
      <c r="I8" s="36"/>
      <c r="J8" s="35">
        <f>SUM(Table1[[#This Row],[LC Value]:[Amd Value]])</f>
        <v>35900</v>
      </c>
      <c r="K8" s="36">
        <v>3.45</v>
      </c>
      <c r="L8" s="37">
        <v>10000</v>
      </c>
      <c r="M8" s="33" t="s">
        <v>2725</v>
      </c>
      <c r="N8" s="33" t="s">
        <v>2859</v>
      </c>
      <c r="O8" s="38" t="str">
        <f>IFERROR(_xlfn.XLOOKUP(C8, Data!$A$2:$A$236, Data!$C$2:$C$236), "")</f>
        <v>Mr. Lipu Sir</v>
      </c>
    </row>
    <row r="9" spans="1:15" ht="42" customHeight="1" x14ac:dyDescent="0.35">
      <c r="A9" s="41">
        <f t="shared" si="0"/>
        <v>760</v>
      </c>
      <c r="B9" s="30" t="s">
        <v>2852</v>
      </c>
      <c r="C9" s="31" t="s">
        <v>1361</v>
      </c>
      <c r="D9" s="29" t="s">
        <v>61</v>
      </c>
      <c r="E9" s="132" t="s">
        <v>2853</v>
      </c>
      <c r="F9" s="33" t="s">
        <v>2234</v>
      </c>
      <c r="G9" s="34">
        <v>46197</v>
      </c>
      <c r="H9" s="35">
        <v>22580</v>
      </c>
      <c r="I9" s="36"/>
      <c r="J9" s="35">
        <f>SUM(Table1[[#This Row],[LC Value]:[Amd Value]])</f>
        <v>22580</v>
      </c>
      <c r="K9" s="36">
        <v>4.0999999999999996</v>
      </c>
      <c r="L9" s="37">
        <v>5450</v>
      </c>
      <c r="M9" s="33" t="s">
        <v>2125</v>
      </c>
      <c r="N9" s="33" t="s">
        <v>2795</v>
      </c>
      <c r="O9" s="38" t="str">
        <f>IFERROR(_xlfn.XLOOKUP(C9, Data!$A$2:$A$236, Data!$C$2:$C$236), "")</f>
        <v>Mr. Reza Sir</v>
      </c>
    </row>
    <row r="10" spans="1:15" ht="42" customHeight="1" x14ac:dyDescent="0.35">
      <c r="A10" s="41">
        <f t="shared" si="0"/>
        <v>759</v>
      </c>
      <c r="B10" s="30" t="s">
        <v>2850</v>
      </c>
      <c r="C10" s="31" t="s">
        <v>200</v>
      </c>
      <c r="D10" s="29" t="s">
        <v>135</v>
      </c>
      <c r="E10" s="132" t="s">
        <v>2851</v>
      </c>
      <c r="F10" s="33" t="s">
        <v>2234</v>
      </c>
      <c r="G10" s="34">
        <v>46197</v>
      </c>
      <c r="H10" s="35">
        <v>8917.5</v>
      </c>
      <c r="I10" s="36"/>
      <c r="J10" s="35">
        <f>SUM(Table1[[#This Row],[LC Value]:[Amd Value]])</f>
        <v>8917.5</v>
      </c>
      <c r="K10" s="36">
        <v>2.5</v>
      </c>
      <c r="L10" s="37">
        <v>2600</v>
      </c>
      <c r="M10" s="33" t="s">
        <v>2125</v>
      </c>
      <c r="N10" s="33" t="s">
        <v>2795</v>
      </c>
      <c r="O10" s="38" t="str">
        <f>IFERROR(_xlfn.XLOOKUP(C10, Data!$A$2:$A$236, Data!$C$2:$C$236), "")</f>
        <v>MD. Sir</v>
      </c>
    </row>
    <row r="11" spans="1:15" ht="42" customHeight="1" x14ac:dyDescent="0.35">
      <c r="A11" s="41">
        <f t="shared" si="0"/>
        <v>758</v>
      </c>
      <c r="B11" s="30" t="s">
        <v>2848</v>
      </c>
      <c r="C11" s="31" t="s">
        <v>199</v>
      </c>
      <c r="D11" s="29" t="s">
        <v>98</v>
      </c>
      <c r="E11" s="132" t="s">
        <v>2849</v>
      </c>
      <c r="F11" s="33" t="s">
        <v>2234</v>
      </c>
      <c r="G11" s="34">
        <v>46197</v>
      </c>
      <c r="H11" s="35">
        <v>35750</v>
      </c>
      <c r="I11" s="36"/>
      <c r="J11" s="35">
        <f>SUM(Table1[[#This Row],[LC Value]:[Amd Value]])</f>
        <v>35750</v>
      </c>
      <c r="K11" s="36">
        <v>2.5</v>
      </c>
      <c r="L11" s="37">
        <v>14300</v>
      </c>
      <c r="M11" s="33" t="s">
        <v>2125</v>
      </c>
      <c r="N11" s="33" t="s">
        <v>2795</v>
      </c>
      <c r="O11" s="38" t="str">
        <f>IFERROR(_xlfn.XLOOKUP(C11, Data!$A$2:$A$236, Data!$C$2:$C$236), "")</f>
        <v>MD. Sir</v>
      </c>
    </row>
    <row r="12" spans="1:15" ht="42" customHeight="1" x14ac:dyDescent="0.35">
      <c r="A12" s="41">
        <f t="shared" si="0"/>
        <v>757</v>
      </c>
      <c r="B12" s="30" t="s">
        <v>2846</v>
      </c>
      <c r="C12" s="31" t="s">
        <v>227</v>
      </c>
      <c r="D12" s="29" t="s">
        <v>294</v>
      </c>
      <c r="E12" s="132" t="s">
        <v>2847</v>
      </c>
      <c r="F12" s="33" t="s">
        <v>1565</v>
      </c>
      <c r="G12" s="34">
        <v>53250</v>
      </c>
      <c r="H12" s="35">
        <v>53250</v>
      </c>
      <c r="I12" s="36"/>
      <c r="J12" s="35">
        <f>SUM(Table1[[#This Row],[LC Value]:[Amd Value]])</f>
        <v>53250</v>
      </c>
      <c r="K12" s="36">
        <v>3.55</v>
      </c>
      <c r="L12" s="37">
        <v>15000</v>
      </c>
      <c r="M12" s="33" t="s">
        <v>2125</v>
      </c>
      <c r="N12" s="33" t="s">
        <v>2795</v>
      </c>
      <c r="O12" s="38" t="str">
        <f>IFERROR(_xlfn.XLOOKUP(C12, Data!$A$2:$A$236, Data!$C$2:$C$236), "")</f>
        <v>Mr. Reza Sir</v>
      </c>
    </row>
    <row r="13" spans="1:15" ht="42" customHeight="1" x14ac:dyDescent="0.35">
      <c r="A13" s="41">
        <f t="shared" si="0"/>
        <v>756</v>
      </c>
      <c r="B13" s="30" t="s">
        <v>2844</v>
      </c>
      <c r="C13" s="31" t="s">
        <v>200</v>
      </c>
      <c r="D13" s="29" t="s">
        <v>98</v>
      </c>
      <c r="E13" s="132" t="s">
        <v>2845</v>
      </c>
      <c r="F13" s="33" t="s">
        <v>1565</v>
      </c>
      <c r="G13" s="34">
        <v>46196</v>
      </c>
      <c r="H13" s="35">
        <v>16920</v>
      </c>
      <c r="I13" s="36"/>
      <c r="J13" s="35">
        <f>SUM(Table1[[#This Row],[LC Value]:[Amd Value]])</f>
        <v>16920</v>
      </c>
      <c r="K13" s="36">
        <v>3.6</v>
      </c>
      <c r="L13" s="37">
        <v>4700</v>
      </c>
      <c r="M13" s="33" t="s">
        <v>2336</v>
      </c>
      <c r="N13" s="33" t="s">
        <v>2490</v>
      </c>
      <c r="O13" s="38" t="str">
        <f>IFERROR(_xlfn.XLOOKUP(C13, Data!$A$2:$A$236, Data!$C$2:$C$236), "")</f>
        <v>MD. Sir</v>
      </c>
    </row>
    <row r="14" spans="1:15" ht="42" customHeight="1" x14ac:dyDescent="0.35">
      <c r="A14" s="41">
        <f t="shared" si="0"/>
        <v>755</v>
      </c>
      <c r="B14" s="30" t="s">
        <v>2842</v>
      </c>
      <c r="C14" s="31" t="s">
        <v>200</v>
      </c>
      <c r="D14" s="29" t="s">
        <v>98</v>
      </c>
      <c r="E14" s="132" t="s">
        <v>2843</v>
      </c>
      <c r="F14" s="33" t="s">
        <v>1565</v>
      </c>
      <c r="G14" s="34">
        <v>46196</v>
      </c>
      <c r="H14" s="35">
        <v>11470</v>
      </c>
      <c r="I14" s="36"/>
      <c r="J14" s="35">
        <f>SUM(Table1[[#This Row],[LC Value]:[Amd Value]])</f>
        <v>11470</v>
      </c>
      <c r="K14" s="36">
        <v>3.7</v>
      </c>
      <c r="L14" s="37">
        <v>3100</v>
      </c>
      <c r="M14" s="33" t="s">
        <v>2336</v>
      </c>
      <c r="N14" s="33" t="s">
        <v>2490</v>
      </c>
      <c r="O14" s="38" t="str">
        <f>IFERROR(_xlfn.XLOOKUP(C14, Data!$A$2:$A$236, Data!$C$2:$C$236), "")</f>
        <v>MD. Sir</v>
      </c>
    </row>
    <row r="15" spans="1:15" ht="42" customHeight="1" x14ac:dyDescent="0.35">
      <c r="A15" s="41">
        <f t="shared" si="0"/>
        <v>754</v>
      </c>
      <c r="B15" s="30" t="s">
        <v>2840</v>
      </c>
      <c r="C15" s="31" t="s">
        <v>141</v>
      </c>
      <c r="D15" s="29" t="s">
        <v>2176</v>
      </c>
      <c r="E15" s="132" t="s">
        <v>2841</v>
      </c>
      <c r="F15" s="33" t="s">
        <v>1565</v>
      </c>
      <c r="G15" s="34">
        <v>46195</v>
      </c>
      <c r="H15" s="35">
        <v>63014.5</v>
      </c>
      <c r="I15" s="36"/>
      <c r="J15" s="35">
        <f>SUM(Table1[[#This Row],[LC Value]:[Amd Value]])</f>
        <v>63014.5</v>
      </c>
      <c r="K15" s="36">
        <v>3.93</v>
      </c>
      <c r="L15" s="37">
        <v>17400</v>
      </c>
      <c r="M15" s="33" t="s">
        <v>1996</v>
      </c>
      <c r="N15" s="33" t="s">
        <v>2125</v>
      </c>
      <c r="O15" s="38" t="str">
        <f>IFERROR(_xlfn.XLOOKUP(C15, Data!$A$2:$A$236, Data!$C$2:$C$236), "")</f>
        <v>Mr. Reza Sir</v>
      </c>
    </row>
    <row r="16" spans="1:15" ht="42" customHeight="1" x14ac:dyDescent="0.35">
      <c r="A16" s="41">
        <f t="shared" si="0"/>
        <v>753</v>
      </c>
      <c r="B16" s="30" t="s">
        <v>2838</v>
      </c>
      <c r="C16" s="31" t="s">
        <v>1158</v>
      </c>
      <c r="D16" s="29" t="s">
        <v>2611</v>
      </c>
      <c r="E16" s="132" t="s">
        <v>2839</v>
      </c>
      <c r="F16" s="33" t="s">
        <v>1565</v>
      </c>
      <c r="G16" s="34">
        <v>46195</v>
      </c>
      <c r="H16" s="35">
        <v>10500</v>
      </c>
      <c r="I16" s="36"/>
      <c r="J16" s="35">
        <f>SUM(Table1[[#This Row],[LC Value]:[Amd Value]])</f>
        <v>10500</v>
      </c>
      <c r="K16" s="36">
        <v>3.4</v>
      </c>
      <c r="L16" s="37">
        <v>3000</v>
      </c>
      <c r="M16" s="33" t="s">
        <v>1996</v>
      </c>
      <c r="N16" s="33" t="s">
        <v>2125</v>
      </c>
      <c r="O16" s="38" t="str">
        <f>IFERROR(_xlfn.XLOOKUP(C16, Data!$A$2:$A$236, Data!$C$2:$C$236), "")</f>
        <v>Mr. Lipu Sir</v>
      </c>
    </row>
    <row r="17" spans="1:15" ht="42" customHeight="1" x14ac:dyDescent="0.35">
      <c r="A17" s="41">
        <f t="shared" si="0"/>
        <v>752</v>
      </c>
      <c r="B17" s="30" t="s">
        <v>2836</v>
      </c>
      <c r="C17" s="31" t="s">
        <v>141</v>
      </c>
      <c r="D17" s="29" t="s">
        <v>2176</v>
      </c>
      <c r="E17" s="132" t="s">
        <v>2837</v>
      </c>
      <c r="F17" s="33" t="s">
        <v>1565</v>
      </c>
      <c r="G17" s="34">
        <v>46195</v>
      </c>
      <c r="H17" s="35">
        <v>27144</v>
      </c>
      <c r="I17" s="36"/>
      <c r="J17" s="35">
        <f>SUM(Table1[[#This Row],[LC Value]:[Amd Value]])</f>
        <v>27144</v>
      </c>
      <c r="K17" s="36">
        <v>3.48</v>
      </c>
      <c r="L17" s="37">
        <v>7800</v>
      </c>
      <c r="M17" s="33" t="s">
        <v>2333</v>
      </c>
      <c r="N17" s="33" t="s">
        <v>2336</v>
      </c>
      <c r="O17" s="38" t="str">
        <f>IFERROR(_xlfn.XLOOKUP(C17, Data!$A$2:$A$236, Data!$C$2:$C$236), "")</f>
        <v>Mr. Reza Sir</v>
      </c>
    </row>
    <row r="18" spans="1:15" ht="42" customHeight="1" x14ac:dyDescent="0.35">
      <c r="A18" s="41">
        <f t="shared" si="0"/>
        <v>751</v>
      </c>
      <c r="B18" s="30" t="s">
        <v>2831</v>
      </c>
      <c r="C18" s="31" t="s">
        <v>1683</v>
      </c>
      <c r="D18" s="29" t="s">
        <v>2833</v>
      </c>
      <c r="E18" s="132" t="s">
        <v>2834</v>
      </c>
      <c r="F18" s="33" t="s">
        <v>2308</v>
      </c>
      <c r="G18" s="34">
        <v>46195</v>
      </c>
      <c r="H18" s="35">
        <v>141900</v>
      </c>
      <c r="I18" s="36"/>
      <c r="J18" s="35">
        <f>SUM(Table1[[#This Row],[LC Value]:[Amd Value]])</f>
        <v>141900</v>
      </c>
      <c r="K18" s="36">
        <v>4.25</v>
      </c>
      <c r="L18" s="37">
        <v>24500</v>
      </c>
      <c r="M18" s="33" t="s">
        <v>2125</v>
      </c>
      <c r="N18" s="33" t="s">
        <v>2589</v>
      </c>
      <c r="O18" s="38" t="str">
        <f>IFERROR(_xlfn.XLOOKUP(C18, Data!$A$2:$A$236, Data!$C$2:$C$236), "")</f>
        <v>Mr. Reza Sir</v>
      </c>
    </row>
    <row r="19" spans="1:15" ht="42" customHeight="1" x14ac:dyDescent="0.35">
      <c r="A19" s="41">
        <f t="shared" si="0"/>
        <v>750</v>
      </c>
      <c r="B19" s="30" t="s">
        <v>2828</v>
      </c>
      <c r="C19" s="39" t="s">
        <v>1562</v>
      </c>
      <c r="D19" s="29" t="s">
        <v>183</v>
      </c>
      <c r="E19" s="132" t="s">
        <v>2829</v>
      </c>
      <c r="F19" s="33" t="s">
        <v>2308</v>
      </c>
      <c r="G19" s="40">
        <v>46195</v>
      </c>
      <c r="H19" s="35">
        <f>104125+62250</f>
        <v>166375</v>
      </c>
      <c r="I19" s="36"/>
      <c r="J19" s="35">
        <f>SUM(Table1[[#This Row],[LC Value]:[Amd Value]])</f>
        <v>166375</v>
      </c>
      <c r="K19" s="36">
        <v>4.25</v>
      </c>
      <c r="L19" s="37">
        <v>24500</v>
      </c>
      <c r="M19" s="33" t="s">
        <v>2718</v>
      </c>
      <c r="N19" s="33" t="s">
        <v>2830</v>
      </c>
      <c r="O19" s="38" t="str">
        <f>IFERROR(_xlfn.XLOOKUP(C19, Data!$A$2:$A$236, Data!$C$2:$C$236), "")</f>
        <v>Director Sir</v>
      </c>
    </row>
    <row r="20" spans="1:15" ht="42" customHeight="1" x14ac:dyDescent="0.35">
      <c r="A20" s="41">
        <f t="shared" si="0"/>
        <v>749</v>
      </c>
      <c r="B20" s="30" t="s">
        <v>2826</v>
      </c>
      <c r="C20" s="31" t="s">
        <v>200</v>
      </c>
      <c r="D20" s="29" t="s">
        <v>135</v>
      </c>
      <c r="E20" s="132" t="s">
        <v>2827</v>
      </c>
      <c r="F20" s="33" t="s">
        <v>2308</v>
      </c>
      <c r="G20" s="34">
        <v>46195</v>
      </c>
      <c r="H20" s="35">
        <v>56625</v>
      </c>
      <c r="I20" s="36"/>
      <c r="J20" s="35">
        <f>SUM(Table1[[#This Row],[LC Value]:[Amd Value]])</f>
        <v>56625</v>
      </c>
      <c r="K20" s="36">
        <v>3.75</v>
      </c>
      <c r="L20" s="37">
        <v>15100</v>
      </c>
      <c r="M20" s="33" t="s">
        <v>2336</v>
      </c>
      <c r="N20" s="33" t="s">
        <v>1044</v>
      </c>
      <c r="O20" s="38" t="str">
        <f>IFERROR(_xlfn.XLOOKUP(C20, Data!$A$2:$A$236, Data!$C$2:$C$236), "")</f>
        <v>MD. Sir</v>
      </c>
    </row>
    <row r="21" spans="1:15" ht="42" customHeight="1" x14ac:dyDescent="0.35">
      <c r="A21" s="41">
        <f t="shared" si="0"/>
        <v>748</v>
      </c>
      <c r="B21" s="30" t="s">
        <v>2824</v>
      </c>
      <c r="C21" s="39" t="s">
        <v>200</v>
      </c>
      <c r="D21" s="29" t="s">
        <v>135</v>
      </c>
      <c r="E21" s="132" t="s">
        <v>2825</v>
      </c>
      <c r="F21" s="33" t="s">
        <v>2308</v>
      </c>
      <c r="G21" s="40">
        <v>46195</v>
      </c>
      <c r="H21" s="35">
        <v>17430</v>
      </c>
      <c r="I21" s="36"/>
      <c r="J21" s="35">
        <f>SUM(Table1[[#This Row],[LC Value]:[Amd Value]])</f>
        <v>17430</v>
      </c>
      <c r="K21" s="36">
        <v>4.2</v>
      </c>
      <c r="L21" s="37">
        <v>17430</v>
      </c>
      <c r="M21" s="33" t="s">
        <v>2336</v>
      </c>
      <c r="N21" s="33" t="s">
        <v>1044</v>
      </c>
      <c r="O21" s="38" t="str">
        <f>IFERROR(_xlfn.XLOOKUP(C21, Data!$A$2:$A$236, Data!$C$2:$C$236), "")</f>
        <v>MD. Sir</v>
      </c>
    </row>
    <row r="22" spans="1:15" ht="42" customHeight="1" x14ac:dyDescent="0.35">
      <c r="A22" s="41">
        <f t="shared" si="0"/>
        <v>747</v>
      </c>
      <c r="B22" s="30" t="s">
        <v>2822</v>
      </c>
      <c r="C22" s="39" t="s">
        <v>200</v>
      </c>
      <c r="D22" s="29" t="s">
        <v>135</v>
      </c>
      <c r="E22" s="132" t="s">
        <v>2823</v>
      </c>
      <c r="F22" s="33" t="s">
        <v>2308</v>
      </c>
      <c r="G22" s="40">
        <v>46197</v>
      </c>
      <c r="H22" s="35">
        <v>18450</v>
      </c>
      <c r="I22" s="36"/>
      <c r="J22" s="35">
        <f>SUM(Table1[[#This Row],[LC Value]:[Amd Value]])</f>
        <v>18450</v>
      </c>
      <c r="K22" s="36">
        <v>3</v>
      </c>
      <c r="L22" s="37">
        <v>6150</v>
      </c>
      <c r="M22" s="33" t="s">
        <v>2336</v>
      </c>
      <c r="N22" s="33" t="s">
        <v>1044</v>
      </c>
      <c r="O22" s="38" t="str">
        <f>IFERROR(_xlfn.XLOOKUP(C22, Data!$A$2:$A$236, Data!$C$2:$C$236), "")</f>
        <v>MD. Sir</v>
      </c>
    </row>
    <row r="23" spans="1:15" ht="42" customHeight="1" x14ac:dyDescent="0.35">
      <c r="A23" s="41">
        <f t="shared" si="0"/>
        <v>746</v>
      </c>
      <c r="B23" s="30" t="s">
        <v>2821</v>
      </c>
      <c r="C23" s="31" t="s">
        <v>82</v>
      </c>
      <c r="D23" s="29" t="s">
        <v>76</v>
      </c>
      <c r="E23" s="132" t="s">
        <v>2820</v>
      </c>
      <c r="F23" s="33" t="s">
        <v>2308</v>
      </c>
      <c r="G23" s="34">
        <v>46195</v>
      </c>
      <c r="H23" s="35">
        <v>34597.5</v>
      </c>
      <c r="I23" s="36"/>
      <c r="J23" s="35">
        <f>SUM(Table1[[#This Row],[LC Value]:[Amd Value]])</f>
        <v>34597.5</v>
      </c>
      <c r="K23" s="36">
        <v>3.8</v>
      </c>
      <c r="L23" s="37">
        <v>9200</v>
      </c>
      <c r="M23" s="33" t="s">
        <v>2336</v>
      </c>
      <c r="N23" s="33" t="s">
        <v>1044</v>
      </c>
      <c r="O23" s="38" t="str">
        <f>IFERROR(_xlfn.XLOOKUP(C23, Data!$A$2:$A$236, Data!$C$2:$C$236), "")</f>
        <v>Mr. Sohel Sir</v>
      </c>
    </row>
    <row r="24" spans="1:15" ht="42" customHeight="1" x14ac:dyDescent="0.35">
      <c r="A24" s="41">
        <f t="shared" si="0"/>
        <v>745</v>
      </c>
      <c r="B24" s="30" t="s">
        <v>2818</v>
      </c>
      <c r="C24" s="39" t="s">
        <v>68</v>
      </c>
      <c r="D24" s="29" t="s">
        <v>414</v>
      </c>
      <c r="E24" s="132" t="s">
        <v>2819</v>
      </c>
      <c r="F24" s="33" t="s">
        <v>1735</v>
      </c>
      <c r="G24" s="40">
        <v>46197</v>
      </c>
      <c r="H24" s="35">
        <v>18850</v>
      </c>
      <c r="I24" s="36"/>
      <c r="J24" s="35">
        <f>SUM(Table1[[#This Row],[LC Value]:[Amd Value]])</f>
        <v>18850</v>
      </c>
      <c r="K24" s="36">
        <v>3.45</v>
      </c>
      <c r="L24" s="37">
        <v>5000</v>
      </c>
      <c r="M24" s="33" t="s">
        <v>2787</v>
      </c>
      <c r="N24" s="33" t="s">
        <v>2786</v>
      </c>
      <c r="O24" s="38" t="str">
        <f>IFERROR(_xlfn.XLOOKUP(C24, Data!$A$2:$A$236, Data!$C$2:$C$236), "")</f>
        <v>Director Sir</v>
      </c>
    </row>
    <row r="25" spans="1:15" ht="42" customHeight="1" x14ac:dyDescent="0.35">
      <c r="A25" s="41">
        <f t="shared" si="0"/>
        <v>744</v>
      </c>
      <c r="B25" s="30" t="s">
        <v>2816</v>
      </c>
      <c r="C25" s="39" t="s">
        <v>199</v>
      </c>
      <c r="D25" s="29" t="s">
        <v>32</v>
      </c>
      <c r="E25" s="132" t="s">
        <v>2817</v>
      </c>
      <c r="F25" s="33" t="s">
        <v>1806</v>
      </c>
      <c r="G25" s="40">
        <v>46193</v>
      </c>
      <c r="H25" s="35">
        <v>31455</v>
      </c>
      <c r="I25" s="36"/>
      <c r="J25" s="35">
        <f>SUM(Table1[[#This Row],[LC Value]:[Amd Value]])</f>
        <v>31455</v>
      </c>
      <c r="K25" s="36">
        <v>2.7</v>
      </c>
      <c r="L25" s="37">
        <v>11650</v>
      </c>
      <c r="M25" s="33" t="s">
        <v>2787</v>
      </c>
      <c r="N25" s="33" t="s">
        <v>2786</v>
      </c>
      <c r="O25" s="38" t="str">
        <f>IFERROR(_xlfn.XLOOKUP(C25, Data!$A$2:$A$236, Data!$C$2:$C$236), "")</f>
        <v>MD. Sir</v>
      </c>
    </row>
    <row r="26" spans="1:15" ht="42" customHeight="1" x14ac:dyDescent="0.35">
      <c r="A26" s="41">
        <f t="shared" si="0"/>
        <v>743</v>
      </c>
      <c r="B26" s="30" t="s">
        <v>2814</v>
      </c>
      <c r="C26" s="39" t="s">
        <v>220</v>
      </c>
      <c r="D26" s="29" t="s">
        <v>135</v>
      </c>
      <c r="E26" s="132" t="s">
        <v>2815</v>
      </c>
      <c r="F26" s="33" t="s">
        <v>1806</v>
      </c>
      <c r="G26" s="40">
        <v>46197</v>
      </c>
      <c r="H26" s="35">
        <v>14255</v>
      </c>
      <c r="I26" s="36"/>
      <c r="J26" s="35">
        <f>SUM(Table1[[#This Row],[LC Value]:[Amd Value]])</f>
        <v>14255</v>
      </c>
      <c r="K26" s="36">
        <v>3.65</v>
      </c>
      <c r="L26" s="37">
        <v>3900</v>
      </c>
      <c r="M26" s="33" t="s">
        <v>2787</v>
      </c>
      <c r="N26" s="33" t="s">
        <v>2786</v>
      </c>
      <c r="O26" s="38" t="str">
        <f>IFERROR(_xlfn.XLOOKUP(C26, Data!$A$2:$A$236, Data!$C$2:$C$236), "")</f>
        <v>Mr. Reza Sir</v>
      </c>
    </row>
    <row r="27" spans="1:15" ht="42" customHeight="1" x14ac:dyDescent="0.35">
      <c r="A27" s="41">
        <f t="shared" si="0"/>
        <v>742</v>
      </c>
      <c r="B27" s="30" t="s">
        <v>2812</v>
      </c>
      <c r="C27" s="31" t="s">
        <v>38</v>
      </c>
      <c r="D27" s="29" t="s">
        <v>189</v>
      </c>
      <c r="E27" s="132" t="s">
        <v>2813</v>
      </c>
      <c r="F27" s="33" t="s">
        <v>1806</v>
      </c>
      <c r="G27" s="34">
        <v>46193</v>
      </c>
      <c r="H27" s="35">
        <v>91250</v>
      </c>
      <c r="I27" s="36"/>
      <c r="J27" s="35">
        <f>SUM(Table1[[#This Row],[LC Value]:[Amd Value]])</f>
        <v>91250</v>
      </c>
      <c r="K27" s="36">
        <v>3.65</v>
      </c>
      <c r="L27" s="37">
        <v>25000</v>
      </c>
      <c r="M27" s="33" t="s">
        <v>2787</v>
      </c>
      <c r="N27" s="33" t="s">
        <v>2786</v>
      </c>
      <c r="O27" s="38" t="str">
        <f>IFERROR(_xlfn.XLOOKUP(C27, Data!$A$2:$A$236, Data!$C$2:$C$236), "")</f>
        <v>Mr. Sohel Sir</v>
      </c>
    </row>
    <row r="28" spans="1:15" ht="42" customHeight="1" x14ac:dyDescent="0.35">
      <c r="A28" s="41">
        <f t="shared" si="0"/>
        <v>741</v>
      </c>
      <c r="B28" s="30" t="s">
        <v>2810</v>
      </c>
      <c r="C28" s="39" t="s">
        <v>200</v>
      </c>
      <c r="D28" s="29" t="s">
        <v>79</v>
      </c>
      <c r="E28" s="132" t="s">
        <v>2811</v>
      </c>
      <c r="F28" s="33" t="s">
        <v>1806</v>
      </c>
      <c r="G28" s="40">
        <v>46197</v>
      </c>
      <c r="H28" s="35">
        <v>15900</v>
      </c>
      <c r="I28" s="36"/>
      <c r="J28" s="35">
        <f>SUM(Table1[[#This Row],[LC Value]:[Amd Value]])</f>
        <v>15900</v>
      </c>
      <c r="K28" s="36">
        <v>3.6</v>
      </c>
      <c r="L28" s="37">
        <v>3950</v>
      </c>
      <c r="M28" s="33" t="s">
        <v>2787</v>
      </c>
      <c r="N28" s="33" t="s">
        <v>2786</v>
      </c>
      <c r="O28" s="38" t="str">
        <f>IFERROR(_xlfn.XLOOKUP(C28, Data!$A$2:$A$236, Data!$C$2:$C$236), "")</f>
        <v>MD. Sir</v>
      </c>
    </row>
    <row r="29" spans="1:15" ht="42" customHeight="1" x14ac:dyDescent="0.35">
      <c r="A29" s="41">
        <f t="shared" si="0"/>
        <v>740</v>
      </c>
      <c r="B29" s="30" t="s">
        <v>2808</v>
      </c>
      <c r="C29" s="39" t="s">
        <v>200</v>
      </c>
      <c r="D29" s="29" t="s">
        <v>79</v>
      </c>
      <c r="E29" s="132" t="s">
        <v>2809</v>
      </c>
      <c r="F29" s="33" t="s">
        <v>1806</v>
      </c>
      <c r="G29" s="40">
        <v>46197</v>
      </c>
      <c r="H29" s="35">
        <v>20502.5</v>
      </c>
      <c r="I29" s="36"/>
      <c r="J29" s="35">
        <f>SUM(Table1[[#This Row],[LC Value]:[Amd Value]])</f>
        <v>20502.5</v>
      </c>
      <c r="K29" s="36">
        <v>4.4000000000000004</v>
      </c>
      <c r="L29" s="37">
        <v>29350</v>
      </c>
      <c r="M29" s="33" t="s">
        <v>2787</v>
      </c>
      <c r="N29" s="33" t="s">
        <v>2786</v>
      </c>
      <c r="O29" s="38" t="str">
        <f>IFERROR(_xlfn.XLOOKUP(C29, Data!$A$2:$A$236, Data!$C$2:$C$236), "")</f>
        <v>MD. Sir</v>
      </c>
    </row>
    <row r="30" spans="1:15" ht="42" customHeight="1" x14ac:dyDescent="0.35">
      <c r="A30" s="41">
        <f t="shared" si="0"/>
        <v>739</v>
      </c>
      <c r="B30" s="30" t="s">
        <v>2806</v>
      </c>
      <c r="C30" s="39" t="s">
        <v>199</v>
      </c>
      <c r="D30" s="29" t="s">
        <v>98</v>
      </c>
      <c r="E30" s="132" t="s">
        <v>2807</v>
      </c>
      <c r="F30" s="33" t="s">
        <v>1806</v>
      </c>
      <c r="G30" s="40">
        <v>46196</v>
      </c>
      <c r="H30" s="35">
        <v>84700</v>
      </c>
      <c r="I30" s="36"/>
      <c r="J30" s="35">
        <f>SUM(Table1[[#This Row],[LC Value]:[Amd Value]])</f>
        <v>84700</v>
      </c>
      <c r="K30" s="36">
        <v>4.4000000000000004</v>
      </c>
      <c r="L30" s="37">
        <v>29350</v>
      </c>
      <c r="M30" s="33" t="s">
        <v>2787</v>
      </c>
      <c r="N30" s="33" t="s">
        <v>2786</v>
      </c>
      <c r="O30" s="38" t="str">
        <f>IFERROR(_xlfn.XLOOKUP(C30, Data!$A$2:$A$236, Data!$C$2:$C$236), "")</f>
        <v>MD. Sir</v>
      </c>
    </row>
    <row r="31" spans="1:15" ht="42" customHeight="1" x14ac:dyDescent="0.35">
      <c r="A31" s="41">
        <f t="shared" si="0"/>
        <v>738</v>
      </c>
      <c r="B31" s="30" t="s">
        <v>2804</v>
      </c>
      <c r="C31" s="31" t="s">
        <v>200</v>
      </c>
      <c r="D31" s="29" t="s">
        <v>98</v>
      </c>
      <c r="E31" s="132" t="s">
        <v>2805</v>
      </c>
      <c r="F31" s="33" t="s">
        <v>1806</v>
      </c>
      <c r="G31" s="34">
        <v>46193</v>
      </c>
      <c r="H31" s="35">
        <v>8460</v>
      </c>
      <c r="I31" s="36"/>
      <c r="J31" s="35">
        <f>SUM(Table1[[#This Row],[LC Value]:[Amd Value]])</f>
        <v>8460</v>
      </c>
      <c r="K31" s="36">
        <v>4.4000000000000004</v>
      </c>
      <c r="L31" s="37">
        <v>1950</v>
      </c>
      <c r="M31" s="33" t="s">
        <v>2787</v>
      </c>
      <c r="N31" s="33" t="s">
        <v>2786</v>
      </c>
      <c r="O31" s="38" t="str">
        <f>IFERROR(_xlfn.XLOOKUP(C31, Data!$A$2:$A$236, Data!$C$2:$C$236), "")</f>
        <v>MD. Sir</v>
      </c>
    </row>
    <row r="32" spans="1:15" ht="42" customHeight="1" x14ac:dyDescent="0.35">
      <c r="A32" s="41">
        <f t="shared" si="0"/>
        <v>737</v>
      </c>
      <c r="B32" s="30" t="s">
        <v>2802</v>
      </c>
      <c r="C32" s="39" t="s">
        <v>199</v>
      </c>
      <c r="D32" s="29" t="s">
        <v>98</v>
      </c>
      <c r="E32" s="132" t="s">
        <v>2803</v>
      </c>
      <c r="F32" s="33" t="s">
        <v>1806</v>
      </c>
      <c r="G32" s="40">
        <v>46197</v>
      </c>
      <c r="H32" s="35">
        <v>38100</v>
      </c>
      <c r="I32" s="36"/>
      <c r="J32" s="35">
        <f>SUM(Table1[[#This Row],[LC Value]:[Amd Value]])</f>
        <v>38100</v>
      </c>
      <c r="K32" s="36">
        <v>3</v>
      </c>
      <c r="L32" s="37">
        <v>12700</v>
      </c>
      <c r="M32" s="33" t="s">
        <v>2787</v>
      </c>
      <c r="N32" s="33" t="s">
        <v>2786</v>
      </c>
      <c r="O32" s="38" t="str">
        <f>IFERROR(_xlfn.XLOOKUP(C32, Data!$A$2:$A$236, Data!$C$2:$C$236), "")</f>
        <v>MD. Sir</v>
      </c>
    </row>
    <row r="33" spans="1:15" ht="42" customHeight="1" x14ac:dyDescent="0.35">
      <c r="A33" s="41">
        <f t="shared" si="0"/>
        <v>736</v>
      </c>
      <c r="B33" s="30" t="s">
        <v>2800</v>
      </c>
      <c r="C33" s="39" t="s">
        <v>199</v>
      </c>
      <c r="D33" s="29" t="s">
        <v>32</v>
      </c>
      <c r="E33" s="132" t="s">
        <v>2801</v>
      </c>
      <c r="F33" s="33" t="s">
        <v>1806</v>
      </c>
      <c r="G33" s="40">
        <v>46197</v>
      </c>
      <c r="H33" s="35">
        <v>49200</v>
      </c>
      <c r="I33" s="36"/>
      <c r="J33" s="35">
        <f>SUM(Table1[[#This Row],[LC Value]:[Amd Value]])</f>
        <v>49200</v>
      </c>
      <c r="K33" s="36">
        <v>3</v>
      </c>
      <c r="L33" s="37">
        <v>16400</v>
      </c>
      <c r="M33" s="33" t="s">
        <v>2787</v>
      </c>
      <c r="N33" s="33" t="s">
        <v>2786</v>
      </c>
      <c r="O33" s="38" t="str">
        <f>IFERROR(_xlfn.XLOOKUP(C33, Data!$A$2:$A$236, Data!$C$2:$C$236), "")</f>
        <v>MD. Sir</v>
      </c>
    </row>
    <row r="34" spans="1:15" ht="42" customHeight="1" x14ac:dyDescent="0.35">
      <c r="A34" s="41">
        <f t="shared" si="0"/>
        <v>735</v>
      </c>
      <c r="B34" s="30" t="s">
        <v>2798</v>
      </c>
      <c r="C34" s="39" t="s">
        <v>199</v>
      </c>
      <c r="D34" s="29" t="s">
        <v>32</v>
      </c>
      <c r="E34" s="132" t="s">
        <v>2799</v>
      </c>
      <c r="F34" s="33" t="s">
        <v>1806</v>
      </c>
      <c r="G34" s="40">
        <v>46193</v>
      </c>
      <c r="H34" s="35">
        <v>44472.5</v>
      </c>
      <c r="I34" s="36"/>
      <c r="J34" s="35">
        <f>SUM(Table1[[#This Row],[LC Value]:[Amd Value]])</f>
        <v>44472.5</v>
      </c>
      <c r="K34" s="36">
        <v>3.25</v>
      </c>
      <c r="L34" s="37">
        <v>13600</v>
      </c>
      <c r="M34" s="33" t="s">
        <v>2787</v>
      </c>
      <c r="N34" s="33" t="s">
        <v>2786</v>
      </c>
      <c r="O34" s="38" t="str">
        <f>IFERROR(_xlfn.XLOOKUP(C34, Data!$A$2:$A$236, Data!$C$2:$C$236), "")</f>
        <v>MD. Sir</v>
      </c>
    </row>
    <row r="35" spans="1:15" ht="42" customHeight="1" x14ac:dyDescent="0.35">
      <c r="A35" s="41">
        <f t="shared" si="0"/>
        <v>734</v>
      </c>
      <c r="B35" s="30" t="s">
        <v>2784</v>
      </c>
      <c r="C35" s="39" t="s">
        <v>185</v>
      </c>
      <c r="D35" s="29" t="s">
        <v>115</v>
      </c>
      <c r="E35" s="132" t="s">
        <v>2785</v>
      </c>
      <c r="F35" s="136" t="s">
        <v>2113</v>
      </c>
      <c r="G35" s="34">
        <v>46191</v>
      </c>
      <c r="H35" s="35">
        <v>111880</v>
      </c>
      <c r="I35" s="36"/>
      <c r="J35" s="35">
        <f>SUM(Table1[[#This Row],[LC Value]:[Amd Value]])</f>
        <v>111880</v>
      </c>
      <c r="K35" s="36">
        <v>3.4</v>
      </c>
      <c r="L35" s="37">
        <v>32800</v>
      </c>
      <c r="M35" s="33" t="s">
        <v>2787</v>
      </c>
      <c r="N35" s="33" t="s">
        <v>2786</v>
      </c>
      <c r="O35" s="38" t="str">
        <f>IFERROR(_xlfn.XLOOKUP(C35, Data!$A$2:$A$236, Data!$C$2:$C$236), "")</f>
        <v>Director Sir</v>
      </c>
    </row>
    <row r="36" spans="1:15" ht="42" customHeight="1" x14ac:dyDescent="0.35">
      <c r="A36" s="41">
        <f t="shared" si="0"/>
        <v>733</v>
      </c>
      <c r="B36" s="30" t="s">
        <v>2782</v>
      </c>
      <c r="C36" s="39" t="s">
        <v>228</v>
      </c>
      <c r="D36" s="29" t="s">
        <v>2276</v>
      </c>
      <c r="E36" s="32" t="s">
        <v>2783</v>
      </c>
      <c r="F36" s="40">
        <v>46196</v>
      </c>
      <c r="G36" s="34">
        <v>46190</v>
      </c>
      <c r="H36" s="35">
        <v>12150</v>
      </c>
      <c r="I36" s="36"/>
      <c r="J36" s="35">
        <f>SUM(Table1[[#This Row],[LC Value]:[Amd Value]])</f>
        <v>12150</v>
      </c>
      <c r="K36" s="36">
        <v>4.05</v>
      </c>
      <c r="L36" s="37">
        <v>3000</v>
      </c>
      <c r="M36" s="33" t="s">
        <v>1083</v>
      </c>
      <c r="N36" s="33" t="s">
        <v>2336</v>
      </c>
      <c r="O36" s="38" t="str">
        <f>IFERROR(_xlfn.XLOOKUP(C36, Data!$A$2:$A$236, Data!$C$2:$C$236), "")</f>
        <v>Mr. Amran Sir</v>
      </c>
    </row>
    <row r="37" spans="1:15" ht="42" customHeight="1" x14ac:dyDescent="0.35">
      <c r="A37" s="41">
        <f t="shared" si="0"/>
        <v>732</v>
      </c>
      <c r="B37" s="30" t="s">
        <v>2780</v>
      </c>
      <c r="C37" s="39" t="s">
        <v>199</v>
      </c>
      <c r="D37" s="29" t="s">
        <v>353</v>
      </c>
      <c r="E37" s="32" t="s">
        <v>2781</v>
      </c>
      <c r="F37" s="33" t="s">
        <v>1735</v>
      </c>
      <c r="G37" s="40">
        <v>46195</v>
      </c>
      <c r="H37" s="35">
        <v>82765</v>
      </c>
      <c r="I37" s="36"/>
      <c r="J37" s="35">
        <f>SUM(Table1[[#This Row],[LC Value]:[Amd Value]])</f>
        <v>82765</v>
      </c>
      <c r="K37" s="36">
        <v>3.5</v>
      </c>
      <c r="L37" s="37">
        <v>24200</v>
      </c>
      <c r="M37" s="33" t="s">
        <v>2375</v>
      </c>
      <c r="N37" s="33" t="s">
        <v>2624</v>
      </c>
      <c r="O37" s="38" t="str">
        <f>IFERROR(_xlfn.XLOOKUP(C37, Data!$A$2:$A$236, Data!$C$2:$C$236), "")</f>
        <v>MD. Sir</v>
      </c>
    </row>
    <row r="38" spans="1:15" ht="42" customHeight="1" x14ac:dyDescent="0.35">
      <c r="A38" s="41">
        <f t="shared" si="0"/>
        <v>731</v>
      </c>
      <c r="B38" s="30" t="s">
        <v>2778</v>
      </c>
      <c r="C38" s="39" t="s">
        <v>199</v>
      </c>
      <c r="D38" s="29" t="s">
        <v>32</v>
      </c>
      <c r="E38" s="32" t="s">
        <v>2779</v>
      </c>
      <c r="F38" s="33" t="s">
        <v>1735</v>
      </c>
      <c r="G38" s="40">
        <v>46195</v>
      </c>
      <c r="H38" s="35">
        <v>15937.5</v>
      </c>
      <c r="I38" s="36"/>
      <c r="J38" s="35">
        <f>SUM(Table1[[#This Row],[LC Value]:[Amd Value]])</f>
        <v>15937.5</v>
      </c>
      <c r="K38" s="36">
        <v>3.5</v>
      </c>
      <c r="L38" s="37">
        <v>6250</v>
      </c>
      <c r="M38" s="33" t="s">
        <v>2375</v>
      </c>
      <c r="N38" s="33" t="s">
        <v>2624</v>
      </c>
      <c r="O38" s="38" t="str">
        <f>IFERROR(_xlfn.XLOOKUP(C38, Data!$A$2:$A$236, Data!$C$2:$C$236), "")</f>
        <v>MD. Sir</v>
      </c>
    </row>
    <row r="39" spans="1:15" ht="42" customHeight="1" x14ac:dyDescent="0.35">
      <c r="A39" s="41">
        <f t="shared" si="0"/>
        <v>730</v>
      </c>
      <c r="B39" s="30" t="s">
        <v>2776</v>
      </c>
      <c r="C39" s="39" t="s">
        <v>199</v>
      </c>
      <c r="D39" s="29" t="s">
        <v>32</v>
      </c>
      <c r="E39" s="32" t="s">
        <v>2777</v>
      </c>
      <c r="F39" s="33" t="s">
        <v>1735</v>
      </c>
      <c r="G39" s="40">
        <v>46195</v>
      </c>
      <c r="H39" s="35">
        <v>65340</v>
      </c>
      <c r="I39" s="36"/>
      <c r="J39" s="35">
        <f>SUM(Table1[[#This Row],[LC Value]:[Amd Value]])</f>
        <v>65340</v>
      </c>
      <c r="K39" s="36">
        <v>3.5</v>
      </c>
      <c r="L39" s="37">
        <v>18150</v>
      </c>
      <c r="M39" s="33" t="s">
        <v>2375</v>
      </c>
      <c r="N39" s="33" t="s">
        <v>2624</v>
      </c>
      <c r="O39" s="38" t="str">
        <f>IFERROR(_xlfn.XLOOKUP(C39, Data!$A$2:$A$236, Data!$C$2:$C$236), "")</f>
        <v>MD. Sir</v>
      </c>
    </row>
    <row r="40" spans="1:15" ht="42" customHeight="1" x14ac:dyDescent="0.35">
      <c r="A40" s="41">
        <f t="shared" si="0"/>
        <v>729</v>
      </c>
      <c r="B40" s="30" t="s">
        <v>2774</v>
      </c>
      <c r="C40" s="39" t="s">
        <v>199</v>
      </c>
      <c r="D40" s="29" t="s">
        <v>32</v>
      </c>
      <c r="E40" s="32" t="s">
        <v>2775</v>
      </c>
      <c r="F40" s="33" t="s">
        <v>1735</v>
      </c>
      <c r="G40" s="40">
        <v>46196</v>
      </c>
      <c r="H40" s="35">
        <v>108150</v>
      </c>
      <c r="I40" s="36"/>
      <c r="J40" s="35">
        <f>SUM(Table1[[#This Row],[LC Value]:[Amd Value]])</f>
        <v>108150</v>
      </c>
      <c r="K40" s="36">
        <v>3.5</v>
      </c>
      <c r="L40" s="37">
        <v>30900</v>
      </c>
      <c r="M40" s="33" t="s">
        <v>2375</v>
      </c>
      <c r="N40" s="33" t="s">
        <v>2624</v>
      </c>
      <c r="O40" s="38" t="str">
        <f>IFERROR(_xlfn.XLOOKUP(C40, Data!$A$2:$A$236, Data!$C$2:$C$236), "")</f>
        <v>MD. Sir</v>
      </c>
    </row>
    <row r="41" spans="1:15" ht="42" customHeight="1" x14ac:dyDescent="0.35">
      <c r="A41" s="41">
        <f t="shared" si="0"/>
        <v>728</v>
      </c>
      <c r="B41" s="30" t="s">
        <v>2764</v>
      </c>
      <c r="C41" s="39" t="s">
        <v>199</v>
      </c>
      <c r="D41" s="29" t="s">
        <v>98</v>
      </c>
      <c r="E41" s="32" t="s">
        <v>2765</v>
      </c>
      <c r="F41" s="33" t="s">
        <v>1735</v>
      </c>
      <c r="G41" s="40">
        <v>46197</v>
      </c>
      <c r="H41" s="35">
        <v>60187.5</v>
      </c>
      <c r="I41" s="36"/>
      <c r="J41" s="35">
        <f>SUM(Table1[[#This Row],[LC Value]:[Amd Value]])</f>
        <v>60187.5</v>
      </c>
      <c r="K41" s="36">
        <v>2.75</v>
      </c>
      <c r="L41" s="37">
        <v>21650</v>
      </c>
      <c r="M41" s="33" t="s">
        <v>2375</v>
      </c>
      <c r="N41" s="33" t="s">
        <v>2624</v>
      </c>
      <c r="O41" s="38" t="str">
        <f>IFERROR(_xlfn.XLOOKUP(C41, Data!$A$2:$A$236, Data!$C$2:$C$236), "")</f>
        <v>MD. Sir</v>
      </c>
    </row>
    <row r="42" spans="1:15" ht="42" customHeight="1" x14ac:dyDescent="0.35">
      <c r="A42" s="41">
        <f t="shared" si="0"/>
        <v>727</v>
      </c>
      <c r="B42" s="30" t="s">
        <v>2762</v>
      </c>
      <c r="C42" s="39" t="s">
        <v>200</v>
      </c>
      <c r="D42" s="29" t="s">
        <v>98</v>
      </c>
      <c r="E42" s="32" t="s">
        <v>2763</v>
      </c>
      <c r="F42" s="33" t="s">
        <v>1735</v>
      </c>
      <c r="G42" s="40">
        <v>46197</v>
      </c>
      <c r="H42" s="35">
        <v>30780</v>
      </c>
      <c r="I42" s="36"/>
      <c r="J42" s="35">
        <f>SUM(Table1[[#This Row],[LC Value]:[Amd Value]])</f>
        <v>30780</v>
      </c>
      <c r="K42" s="36">
        <v>3.6</v>
      </c>
      <c r="L42" s="37">
        <v>8550</v>
      </c>
      <c r="M42" s="33" t="s">
        <v>2375</v>
      </c>
      <c r="N42" s="33" t="s">
        <v>2624</v>
      </c>
      <c r="O42" s="38" t="str">
        <f>IFERROR(_xlfn.XLOOKUP(C42, Data!$A$2:$A$236, Data!$C$2:$C$236), "")</f>
        <v>MD. Sir</v>
      </c>
    </row>
    <row r="43" spans="1:15" ht="42" customHeight="1" x14ac:dyDescent="0.35">
      <c r="A43" s="41">
        <f t="shared" si="0"/>
        <v>726</v>
      </c>
      <c r="B43" s="30" t="s">
        <v>2760</v>
      </c>
      <c r="C43" s="39" t="s">
        <v>200</v>
      </c>
      <c r="D43" s="29" t="s">
        <v>32</v>
      </c>
      <c r="E43" s="32" t="s">
        <v>2761</v>
      </c>
      <c r="F43" s="33" t="s">
        <v>1735</v>
      </c>
      <c r="G43" s="40">
        <v>46195</v>
      </c>
      <c r="H43" s="35">
        <v>29040</v>
      </c>
      <c r="I43" s="36"/>
      <c r="J43" s="35">
        <f>SUM(Table1[[#This Row],[LC Value]:[Amd Value]])</f>
        <v>29040</v>
      </c>
      <c r="K43" s="36">
        <v>4.8</v>
      </c>
      <c r="L43" s="37">
        <v>6050</v>
      </c>
      <c r="M43" s="33" t="s">
        <v>2375</v>
      </c>
      <c r="N43" s="33" t="s">
        <v>2624</v>
      </c>
      <c r="O43" s="38" t="str">
        <f>IFERROR(_xlfn.XLOOKUP(C43, Data!$A$2:$A$236, Data!$C$2:$C$236), "")</f>
        <v>MD. Sir</v>
      </c>
    </row>
    <row r="44" spans="1:15" ht="42" customHeight="1" x14ac:dyDescent="0.35">
      <c r="A44" s="41">
        <f t="shared" si="0"/>
        <v>725</v>
      </c>
      <c r="B44" s="30" t="s">
        <v>2758</v>
      </c>
      <c r="C44" s="39" t="s">
        <v>200</v>
      </c>
      <c r="D44" s="29" t="s">
        <v>32</v>
      </c>
      <c r="E44" s="32" t="s">
        <v>2759</v>
      </c>
      <c r="F44" s="33" t="s">
        <v>1735</v>
      </c>
      <c r="G44" s="40">
        <v>46195</v>
      </c>
      <c r="H44" s="35">
        <v>16087.5</v>
      </c>
      <c r="I44" s="36"/>
      <c r="J44" s="35">
        <f>SUM(Table1[[#This Row],[LC Value]:[Amd Value]])</f>
        <v>16087.5</v>
      </c>
      <c r="K44" s="36">
        <v>4.95</v>
      </c>
      <c r="L44" s="37">
        <v>3250</v>
      </c>
      <c r="M44" s="33" t="s">
        <v>2375</v>
      </c>
      <c r="N44" s="33" t="s">
        <v>2624</v>
      </c>
      <c r="O44" s="38" t="str">
        <f>IFERROR(_xlfn.XLOOKUP(C44, Data!$A$2:$A$236, Data!$C$2:$C$236), "")</f>
        <v>MD. Sir</v>
      </c>
    </row>
    <row r="45" spans="1:15" ht="42" customHeight="1" x14ac:dyDescent="0.35">
      <c r="A45" s="41">
        <f t="shared" si="0"/>
        <v>724</v>
      </c>
      <c r="B45" s="30" t="s">
        <v>2744</v>
      </c>
      <c r="C45" s="137" t="s">
        <v>97</v>
      </c>
      <c r="D45" s="29" t="s">
        <v>98</v>
      </c>
      <c r="E45" s="32" t="s">
        <v>2745</v>
      </c>
      <c r="F45" s="33" t="s">
        <v>1735</v>
      </c>
      <c r="G45" s="136">
        <v>46196</v>
      </c>
      <c r="H45" s="35">
        <v>22750</v>
      </c>
      <c r="I45" s="36"/>
      <c r="J45" s="35">
        <f>SUM(Table1[[#This Row],[LC Value]:[Amd Value]])</f>
        <v>22750</v>
      </c>
      <c r="K45" s="36">
        <v>4.55</v>
      </c>
      <c r="L45" s="37">
        <v>5000</v>
      </c>
      <c r="M45" s="33" t="s">
        <v>2125</v>
      </c>
      <c r="N45" s="33" t="s">
        <v>1044</v>
      </c>
      <c r="O45" s="38" t="str">
        <f>IFERROR(_xlfn.XLOOKUP(C45, Data!$A$2:$A$236, Data!$C$2:$C$236), "")</f>
        <v>Mr. Reza Sir</v>
      </c>
    </row>
    <row r="46" spans="1:15" ht="42" customHeight="1" x14ac:dyDescent="0.35">
      <c r="A46" s="41">
        <f t="shared" si="0"/>
        <v>723</v>
      </c>
      <c r="B46" s="30" t="s">
        <v>2742</v>
      </c>
      <c r="C46" s="39" t="s">
        <v>174</v>
      </c>
      <c r="D46" s="29" t="s">
        <v>2691</v>
      </c>
      <c r="E46" s="32" t="s">
        <v>2743</v>
      </c>
      <c r="F46" s="33">
        <v>46188</v>
      </c>
      <c r="G46" s="40">
        <v>46195</v>
      </c>
      <c r="H46" s="35">
        <v>20250</v>
      </c>
      <c r="I46" s="36"/>
      <c r="J46" s="35">
        <f>SUM(Table1[[#This Row],[LC Value]:[Amd Value]])</f>
        <v>20250</v>
      </c>
      <c r="K46" s="36">
        <v>4.05</v>
      </c>
      <c r="L46" s="37">
        <v>5000</v>
      </c>
      <c r="M46" s="33" t="s">
        <v>2725</v>
      </c>
      <c r="N46" s="33" t="s">
        <v>2737</v>
      </c>
      <c r="O46" s="38" t="str">
        <f>IFERROR(_xlfn.XLOOKUP(C46, Data!$A$2:$A$236, Data!$C$2:$C$236), "")</f>
        <v>Mr. Reza Sir</v>
      </c>
    </row>
    <row r="47" spans="1:15" ht="42" customHeight="1" x14ac:dyDescent="0.35">
      <c r="A47" s="41">
        <f t="shared" si="0"/>
        <v>722</v>
      </c>
      <c r="B47" s="30" t="s">
        <v>2740</v>
      </c>
      <c r="C47" s="39" t="s">
        <v>174</v>
      </c>
      <c r="D47" s="29" t="s">
        <v>2691</v>
      </c>
      <c r="E47" s="32" t="s">
        <v>2741</v>
      </c>
      <c r="F47" s="33">
        <v>46188</v>
      </c>
      <c r="G47" s="40">
        <v>46195</v>
      </c>
      <c r="H47" s="35">
        <v>54195</v>
      </c>
      <c r="I47" s="36"/>
      <c r="J47" s="35">
        <f>SUM(Table1[[#This Row],[LC Value]:[Amd Value]])</f>
        <v>54195</v>
      </c>
      <c r="K47" s="36">
        <v>4.0999999999999996</v>
      </c>
      <c r="L47" s="37">
        <v>13200</v>
      </c>
      <c r="M47" s="33" t="s">
        <v>2725</v>
      </c>
      <c r="N47" s="33" t="s">
        <v>2737</v>
      </c>
      <c r="O47" s="38" t="str">
        <f>IFERROR(_xlfn.XLOOKUP(C47, Data!$A$2:$A$236, Data!$C$2:$C$236), "")</f>
        <v>Mr. Reza Sir</v>
      </c>
    </row>
    <row r="48" spans="1:15" ht="42" customHeight="1" x14ac:dyDescent="0.35">
      <c r="A48" s="41">
        <f t="shared" si="0"/>
        <v>721</v>
      </c>
      <c r="B48" s="30" t="s">
        <v>2738</v>
      </c>
      <c r="C48" s="39" t="s">
        <v>174</v>
      </c>
      <c r="D48" s="29" t="s">
        <v>2691</v>
      </c>
      <c r="E48" s="32" t="s">
        <v>2739</v>
      </c>
      <c r="F48" s="33">
        <v>46188</v>
      </c>
      <c r="G48" s="40">
        <v>46195</v>
      </c>
      <c r="H48" s="35">
        <v>15070</v>
      </c>
      <c r="I48" s="36"/>
      <c r="J48" s="35">
        <f>SUM(Table1[[#This Row],[LC Value]:[Amd Value]])</f>
        <v>15070</v>
      </c>
      <c r="K48" s="36">
        <v>4.05</v>
      </c>
      <c r="L48" s="37">
        <v>3700</v>
      </c>
      <c r="M48" s="33" t="s">
        <v>2725</v>
      </c>
      <c r="N48" s="33" t="s">
        <v>2737</v>
      </c>
      <c r="O48" s="38" t="str">
        <f>IFERROR(_xlfn.XLOOKUP(C48, Data!$A$2:$A$236, Data!$C$2:$C$236), "")</f>
        <v>Mr. Reza Sir</v>
      </c>
    </row>
    <row r="49" spans="1:15" ht="42" customHeight="1" x14ac:dyDescent="0.35">
      <c r="A49" s="41">
        <f t="shared" si="0"/>
        <v>720</v>
      </c>
      <c r="B49" s="30" t="s">
        <v>2735</v>
      </c>
      <c r="C49" s="39" t="s">
        <v>112</v>
      </c>
      <c r="D49" s="29" t="s">
        <v>113</v>
      </c>
      <c r="E49" s="32" t="s">
        <v>2736</v>
      </c>
      <c r="F49" s="33">
        <v>46188</v>
      </c>
      <c r="G49" s="40">
        <v>46189</v>
      </c>
      <c r="H49" s="35">
        <v>59070</v>
      </c>
      <c r="I49" s="36"/>
      <c r="J49" s="35">
        <f>SUM(Table1[[#This Row],[LC Value]:[Amd Value]])</f>
        <v>59070</v>
      </c>
      <c r="K49" s="36">
        <v>3.58</v>
      </c>
      <c r="L49" s="37">
        <v>16500</v>
      </c>
      <c r="M49" s="33" t="s">
        <v>2725</v>
      </c>
      <c r="N49" s="33" t="s">
        <v>2737</v>
      </c>
      <c r="O49" s="38" t="str">
        <f>IFERROR(_xlfn.XLOOKUP(C49, Data!$A$2:$A$236, Data!$C$2:$C$236), "")</f>
        <v>Mr. Reza Sir</v>
      </c>
    </row>
    <row r="50" spans="1:15" ht="42" customHeight="1" x14ac:dyDescent="0.35">
      <c r="A50" s="41">
        <f t="shared" si="0"/>
        <v>719</v>
      </c>
      <c r="B50" s="30" t="s">
        <v>2733</v>
      </c>
      <c r="C50" s="39" t="s">
        <v>150</v>
      </c>
      <c r="D50" s="29" t="s">
        <v>95</v>
      </c>
      <c r="E50" s="32" t="s">
        <v>2734</v>
      </c>
      <c r="F50" s="33">
        <v>46188</v>
      </c>
      <c r="G50" s="40">
        <v>46195</v>
      </c>
      <c r="H50" s="35">
        <v>10232.5</v>
      </c>
      <c r="I50" s="36"/>
      <c r="J50" s="35">
        <f>SUM(Table1[[#This Row],[LC Value]:[Amd Value]])</f>
        <v>10232.5</v>
      </c>
      <c r="K50" s="36">
        <v>3.43</v>
      </c>
      <c r="L50" s="37">
        <v>2750</v>
      </c>
      <c r="M50" s="33" t="s">
        <v>1083</v>
      </c>
      <c r="N50" s="33" t="s">
        <v>2336</v>
      </c>
      <c r="O50" s="38" t="str">
        <f>IFERROR(_xlfn.XLOOKUP(C50, Data!$A$2:$A$236, Data!$C$2:$C$236), "")</f>
        <v>Mr. Sohel Sir</v>
      </c>
    </row>
    <row r="51" spans="1:15" ht="42" customHeight="1" x14ac:dyDescent="0.35">
      <c r="A51" s="41">
        <f t="shared" si="0"/>
        <v>718</v>
      </c>
      <c r="B51" s="30" t="s">
        <v>2731</v>
      </c>
      <c r="C51" s="39" t="s">
        <v>141</v>
      </c>
      <c r="D51" s="29" t="s">
        <v>2176</v>
      </c>
      <c r="E51" s="32" t="s">
        <v>2732</v>
      </c>
      <c r="F51" s="33">
        <v>46188</v>
      </c>
      <c r="G51" s="40">
        <v>46195</v>
      </c>
      <c r="H51" s="35">
        <v>14616</v>
      </c>
      <c r="I51" s="36"/>
      <c r="J51" s="35">
        <f>SUM(Table1[[#This Row],[LC Value]:[Amd Value]])</f>
        <v>14616</v>
      </c>
      <c r="K51" s="36">
        <v>3.48</v>
      </c>
      <c r="L51" s="37">
        <v>4200</v>
      </c>
      <c r="M51" s="33" t="s">
        <v>1996</v>
      </c>
      <c r="N51" s="33" t="s">
        <v>2333</v>
      </c>
      <c r="O51" s="38" t="str">
        <f>IFERROR(_xlfn.XLOOKUP(C51, Data!$A$2:$A$236, Data!$C$2:$C$236), "")</f>
        <v>Mr. Reza Sir</v>
      </c>
    </row>
    <row r="52" spans="1:15" ht="42" customHeight="1" x14ac:dyDescent="0.35">
      <c r="A52" s="41">
        <f t="shared" si="0"/>
        <v>717</v>
      </c>
      <c r="B52" s="30" t="s">
        <v>2729</v>
      </c>
      <c r="C52" s="39" t="s">
        <v>64</v>
      </c>
      <c r="D52" s="29" t="s">
        <v>43</v>
      </c>
      <c r="E52" s="32" t="s">
        <v>2730</v>
      </c>
      <c r="F52" s="33">
        <v>46188</v>
      </c>
      <c r="G52" s="40">
        <v>46188</v>
      </c>
      <c r="H52" s="35">
        <v>7600</v>
      </c>
      <c r="I52" s="36"/>
      <c r="J52" s="35">
        <f>SUM(Table1[[#This Row],[LC Value]:[Amd Value]])</f>
        <v>7600</v>
      </c>
      <c r="K52" s="36">
        <v>3.8</v>
      </c>
      <c r="L52" s="37">
        <v>2000</v>
      </c>
      <c r="M52" s="33" t="s">
        <v>1996</v>
      </c>
      <c r="N52" s="33" t="s">
        <v>2125</v>
      </c>
      <c r="O52" s="38" t="str">
        <f>IFERROR(_xlfn.XLOOKUP(C52, Data!$A$2:$A$236, Data!$C$2:$C$236), "")</f>
        <v>Mr. Reza Sir</v>
      </c>
    </row>
    <row r="53" spans="1:15" ht="42" customHeight="1" x14ac:dyDescent="0.35">
      <c r="A53" s="41">
        <f t="shared" si="0"/>
        <v>716</v>
      </c>
      <c r="B53" s="30" t="s">
        <v>2727</v>
      </c>
      <c r="C53" s="39" t="s">
        <v>178</v>
      </c>
      <c r="D53" s="29" t="s">
        <v>2691</v>
      </c>
      <c r="E53" s="32" t="s">
        <v>2728</v>
      </c>
      <c r="F53" s="33" t="s">
        <v>2113</v>
      </c>
      <c r="G53" s="40">
        <v>46191</v>
      </c>
      <c r="H53" s="35">
        <v>181547.5</v>
      </c>
      <c r="I53" s="36"/>
      <c r="J53" s="35">
        <f>SUM(Table1[[#This Row],[LC Value]:[Amd Value]])</f>
        <v>181547.5</v>
      </c>
      <c r="K53" s="36">
        <v>4.05</v>
      </c>
      <c r="L53" s="37">
        <v>43600</v>
      </c>
      <c r="M53" s="33" t="s">
        <v>1695</v>
      </c>
      <c r="N53" s="33" t="s">
        <v>1694</v>
      </c>
      <c r="O53" s="38" t="str">
        <f>IFERROR(_xlfn.XLOOKUP(C53, Data!$A$2:$A$236, Data!$C$2:$C$236), "")</f>
        <v>Mr. Reza Sir</v>
      </c>
    </row>
    <row r="54" spans="1:15" ht="42" customHeight="1" x14ac:dyDescent="0.35">
      <c r="A54" s="41">
        <f t="shared" si="0"/>
        <v>715</v>
      </c>
      <c r="B54" s="30" t="s">
        <v>2723</v>
      </c>
      <c r="C54" s="39" t="s">
        <v>1934</v>
      </c>
      <c r="D54" s="29" t="s">
        <v>1936</v>
      </c>
      <c r="E54" s="32" t="s">
        <v>2724</v>
      </c>
      <c r="F54" s="33" t="s">
        <v>2113</v>
      </c>
      <c r="G54" s="40">
        <v>46195</v>
      </c>
      <c r="H54" s="35">
        <v>269575</v>
      </c>
      <c r="I54" s="36"/>
      <c r="J54" s="35">
        <f>SUM(Table1[[#This Row],[LC Value]:[Amd Value]])</f>
        <v>269575</v>
      </c>
      <c r="K54" s="36">
        <v>3.9</v>
      </c>
      <c r="L54" s="37">
        <v>68000</v>
      </c>
      <c r="M54" s="33" t="s">
        <v>2726</v>
      </c>
      <c r="N54" s="33" t="s">
        <v>2725</v>
      </c>
      <c r="O54" s="38" t="str">
        <f>IFERROR(_xlfn.XLOOKUP(C54, Data!$A$2:$A$236, Data!$C$2:$C$236), "")</f>
        <v>Mr. Reza Sir</v>
      </c>
    </row>
    <row r="55" spans="1:15" ht="42" customHeight="1" x14ac:dyDescent="0.35">
      <c r="A55" s="41">
        <f t="shared" si="0"/>
        <v>714</v>
      </c>
      <c r="B55" s="30" t="s">
        <v>2719</v>
      </c>
      <c r="C55" s="39" t="s">
        <v>201</v>
      </c>
      <c r="D55" s="29" t="s">
        <v>21</v>
      </c>
      <c r="E55" s="32" t="s">
        <v>2720</v>
      </c>
      <c r="F55" s="33" t="s">
        <v>2113</v>
      </c>
      <c r="G55" s="40">
        <v>46195</v>
      </c>
      <c r="H55" s="35">
        <f>114000+76000</f>
        <v>190000</v>
      </c>
      <c r="I55" s="36"/>
      <c r="J55" s="35">
        <f>SUM(Table1[[#This Row],[LC Value]:[Amd Value]])</f>
        <v>190000</v>
      </c>
      <c r="K55" s="36">
        <v>3.8</v>
      </c>
      <c r="L55" s="37">
        <v>50000</v>
      </c>
      <c r="M55" s="33" t="s">
        <v>2718</v>
      </c>
      <c r="N55" s="33" t="s">
        <v>1044</v>
      </c>
      <c r="O55" s="38" t="str">
        <f>IFERROR(_xlfn.XLOOKUP(C55, Data!$A$2:$A$236, Data!$C$2:$C$236), "")</f>
        <v>Director Sir</v>
      </c>
    </row>
    <row r="56" spans="1:15" ht="42" customHeight="1" x14ac:dyDescent="0.35">
      <c r="A56" s="41">
        <f t="shared" si="0"/>
        <v>713</v>
      </c>
      <c r="B56" s="30" t="s">
        <v>2716</v>
      </c>
      <c r="C56" s="39" t="s">
        <v>201</v>
      </c>
      <c r="D56" s="29" t="s">
        <v>21</v>
      </c>
      <c r="E56" s="32" t="s">
        <v>2717</v>
      </c>
      <c r="F56" s="33" t="s">
        <v>2113</v>
      </c>
      <c r="G56" s="40">
        <v>46195</v>
      </c>
      <c r="H56" s="35">
        <v>16200</v>
      </c>
      <c r="I56" s="36">
        <v>-200</v>
      </c>
      <c r="J56" s="35">
        <f>SUM(Table1[[#This Row],[LC Value]:[Amd Value]])</f>
        <v>16000</v>
      </c>
      <c r="K56" s="36">
        <v>4</v>
      </c>
      <c r="L56" s="37">
        <v>4000</v>
      </c>
      <c r="M56" s="33" t="s">
        <v>2718</v>
      </c>
      <c r="N56" s="33" t="s">
        <v>1044</v>
      </c>
      <c r="O56" s="38" t="str">
        <f>IFERROR(_xlfn.XLOOKUP(C56, Data!$A$2:$A$236, Data!$C$2:$C$236), "")</f>
        <v>Director Sir</v>
      </c>
    </row>
    <row r="57" spans="1:15" ht="42" customHeight="1" x14ac:dyDescent="0.35">
      <c r="A57" s="41">
        <f t="shared" si="0"/>
        <v>712</v>
      </c>
      <c r="B57" s="30" t="s">
        <v>2689</v>
      </c>
      <c r="C57" s="39" t="s">
        <v>174</v>
      </c>
      <c r="D57" s="29" t="s">
        <v>2691</v>
      </c>
      <c r="E57" s="32" t="s">
        <v>2690</v>
      </c>
      <c r="F57" s="33">
        <v>46184</v>
      </c>
      <c r="G57" s="40">
        <v>46189</v>
      </c>
      <c r="H57" s="35">
        <v>56700</v>
      </c>
      <c r="I57" s="36"/>
      <c r="J57" s="35">
        <f>SUM(Table1[[#This Row],[LC Value]:[Amd Value]])</f>
        <v>56700</v>
      </c>
      <c r="K57" s="36">
        <v>3.95</v>
      </c>
      <c r="L57" s="37">
        <v>14000</v>
      </c>
      <c r="M57" s="33" t="s">
        <v>1045</v>
      </c>
      <c r="N57" s="33" t="s">
        <v>1044</v>
      </c>
      <c r="O57" s="38" t="str">
        <f>IFERROR(_xlfn.XLOOKUP(C57, Data!$A$2:$A$236, Data!$C$2:$C$236), "")</f>
        <v>Mr. Reza Sir</v>
      </c>
    </row>
    <row r="58" spans="1:15" ht="42" customHeight="1" x14ac:dyDescent="0.35">
      <c r="A58" s="41">
        <f t="shared" si="0"/>
        <v>711</v>
      </c>
      <c r="B58" s="30" t="s">
        <v>2687</v>
      </c>
      <c r="C58" s="39" t="s">
        <v>174</v>
      </c>
      <c r="D58" s="29" t="s">
        <v>2691</v>
      </c>
      <c r="E58" s="32" t="s">
        <v>2688</v>
      </c>
      <c r="F58" s="33">
        <v>46184</v>
      </c>
      <c r="G58" s="40">
        <v>46189</v>
      </c>
      <c r="H58" s="35">
        <v>7745</v>
      </c>
      <c r="I58" s="36"/>
      <c r="J58" s="35">
        <f>SUM(Table1[[#This Row],[LC Value]:[Amd Value]])</f>
        <v>7745</v>
      </c>
      <c r="K58" s="36">
        <v>3.95</v>
      </c>
      <c r="L58" s="37">
        <v>2000</v>
      </c>
      <c r="M58" s="33" t="s">
        <v>1045</v>
      </c>
      <c r="N58" s="33" t="s">
        <v>1044</v>
      </c>
      <c r="O58" s="38" t="str">
        <f>IFERROR(_xlfn.XLOOKUP(C58, Data!$A$2:$A$236, Data!$C$2:$C$236), "")</f>
        <v>Mr. Reza Sir</v>
      </c>
    </row>
    <row r="59" spans="1:15" ht="42" customHeight="1" x14ac:dyDescent="0.35">
      <c r="A59" s="41">
        <f t="shared" si="0"/>
        <v>710</v>
      </c>
      <c r="B59" s="30" t="s">
        <v>2685</v>
      </c>
      <c r="C59" s="39" t="s">
        <v>174</v>
      </c>
      <c r="D59" s="29" t="s">
        <v>2691</v>
      </c>
      <c r="E59" s="32" t="s">
        <v>2686</v>
      </c>
      <c r="F59" s="33">
        <v>46184</v>
      </c>
      <c r="G59" s="40">
        <v>46189</v>
      </c>
      <c r="H59" s="35">
        <v>7910</v>
      </c>
      <c r="I59" s="36"/>
      <c r="J59" s="35">
        <f>SUM(Table1[[#This Row],[LC Value]:[Amd Value]])</f>
        <v>7910</v>
      </c>
      <c r="K59" s="36">
        <v>3.95</v>
      </c>
      <c r="L59" s="37">
        <v>2000</v>
      </c>
      <c r="M59" s="33" t="s">
        <v>1045</v>
      </c>
      <c r="N59" s="33" t="s">
        <v>1044</v>
      </c>
      <c r="O59" s="38" t="str">
        <f>IFERROR(_xlfn.XLOOKUP(C59, Data!$A$2:$A$236, Data!$C$2:$C$236), "")</f>
        <v>Mr. Reza Sir</v>
      </c>
    </row>
    <row r="60" spans="1:15" ht="42" customHeight="1" x14ac:dyDescent="0.35">
      <c r="A60" s="41">
        <f t="shared" si="0"/>
        <v>709</v>
      </c>
      <c r="B60" s="30" t="s">
        <v>2683</v>
      </c>
      <c r="C60" s="39" t="s">
        <v>174</v>
      </c>
      <c r="D60" s="29" t="s">
        <v>2691</v>
      </c>
      <c r="E60" s="32" t="s">
        <v>2684</v>
      </c>
      <c r="F60" s="33">
        <v>46184</v>
      </c>
      <c r="G60" s="40">
        <v>46191</v>
      </c>
      <c r="H60" s="35">
        <v>38415</v>
      </c>
      <c r="I60" s="36"/>
      <c r="J60" s="35">
        <f>SUM(Table1[[#This Row],[LC Value]:[Amd Value]])</f>
        <v>38415</v>
      </c>
      <c r="K60" s="36">
        <v>4.1500000000000004</v>
      </c>
      <c r="L60" s="37">
        <v>9300</v>
      </c>
      <c r="M60" s="33" t="s">
        <v>1045</v>
      </c>
      <c r="N60" s="33" t="s">
        <v>1044</v>
      </c>
      <c r="O60" s="38" t="str">
        <f>IFERROR(_xlfn.XLOOKUP(C60, Data!$A$2:$A$236, Data!$C$2:$C$236), "")</f>
        <v>Mr. Reza Sir</v>
      </c>
    </row>
    <row r="61" spans="1:15" ht="42" customHeight="1" x14ac:dyDescent="0.35">
      <c r="A61" s="41">
        <f t="shared" si="0"/>
        <v>708</v>
      </c>
      <c r="B61" s="30" t="s">
        <v>2681</v>
      </c>
      <c r="C61" s="39" t="s">
        <v>174</v>
      </c>
      <c r="D61" s="29" t="s">
        <v>2691</v>
      </c>
      <c r="E61" s="32" t="s">
        <v>2682</v>
      </c>
      <c r="F61" s="33">
        <v>46184</v>
      </c>
      <c r="G61" s="40">
        <v>46187</v>
      </c>
      <c r="H61" s="35">
        <v>101050</v>
      </c>
      <c r="I61" s="36"/>
      <c r="J61" s="35">
        <f>SUM(Table1[[#This Row],[LC Value]:[Amd Value]])</f>
        <v>101050</v>
      </c>
      <c r="K61" s="36">
        <v>4.1500000000000004</v>
      </c>
      <c r="L61" s="37">
        <v>23500</v>
      </c>
      <c r="M61" s="33" t="s">
        <v>1045</v>
      </c>
      <c r="N61" s="33" t="s">
        <v>1044</v>
      </c>
      <c r="O61" s="38" t="str">
        <f>IFERROR(_xlfn.XLOOKUP(C61, Data!$A$2:$A$236, Data!$C$2:$C$236), "")</f>
        <v>Mr. Reza Sir</v>
      </c>
    </row>
    <row r="62" spans="1:15" ht="42" customHeight="1" x14ac:dyDescent="0.35">
      <c r="A62" s="41">
        <f t="shared" si="0"/>
        <v>707</v>
      </c>
      <c r="B62" s="30" t="s">
        <v>2679</v>
      </c>
      <c r="C62" s="39" t="s">
        <v>174</v>
      </c>
      <c r="D62" s="29" t="s">
        <v>2691</v>
      </c>
      <c r="E62" s="32" t="s">
        <v>2680</v>
      </c>
      <c r="F62" s="33">
        <v>46184</v>
      </c>
      <c r="G62" s="40">
        <v>46187</v>
      </c>
      <c r="H62" s="35">
        <v>59345</v>
      </c>
      <c r="I62" s="36"/>
      <c r="J62" s="35">
        <f>SUM(Table1[[#This Row],[LC Value]:[Amd Value]])</f>
        <v>59345</v>
      </c>
      <c r="K62" s="36">
        <v>4.1500000000000004</v>
      </c>
      <c r="L62" s="37">
        <v>14300</v>
      </c>
      <c r="M62" s="33" t="s">
        <v>1045</v>
      </c>
      <c r="N62" s="33" t="s">
        <v>1044</v>
      </c>
      <c r="O62" s="38" t="str">
        <f>IFERROR(_xlfn.XLOOKUP(C62, Data!$A$2:$A$236, Data!$C$2:$C$236), "")</f>
        <v>Mr. Reza Sir</v>
      </c>
    </row>
    <row r="63" spans="1:15" ht="42" customHeight="1" x14ac:dyDescent="0.35">
      <c r="A63" s="41">
        <f t="shared" si="0"/>
        <v>706</v>
      </c>
      <c r="B63" s="30" t="s">
        <v>2677</v>
      </c>
      <c r="C63" s="39" t="s">
        <v>174</v>
      </c>
      <c r="D63" s="29" t="s">
        <v>2691</v>
      </c>
      <c r="E63" s="32" t="s">
        <v>2678</v>
      </c>
      <c r="F63" s="33">
        <v>46184</v>
      </c>
      <c r="G63" s="40">
        <v>46187</v>
      </c>
      <c r="H63" s="35">
        <v>52095</v>
      </c>
      <c r="I63" s="36"/>
      <c r="J63" s="35">
        <f>SUM(Table1[[#This Row],[LC Value]:[Amd Value]])</f>
        <v>52095</v>
      </c>
      <c r="K63" s="36">
        <v>4.05</v>
      </c>
      <c r="L63" s="37">
        <v>12850</v>
      </c>
      <c r="M63" s="33" t="s">
        <v>1045</v>
      </c>
      <c r="N63" s="33" t="s">
        <v>1044</v>
      </c>
      <c r="O63" s="38" t="str">
        <f>IFERROR(_xlfn.XLOOKUP(C63, Data!$A$2:$A$236, Data!$C$2:$C$236), "")</f>
        <v>Mr. Reza Sir</v>
      </c>
    </row>
    <row r="64" spans="1:15" ht="42" customHeight="1" x14ac:dyDescent="0.35">
      <c r="A64" s="41">
        <f t="shared" si="0"/>
        <v>705</v>
      </c>
      <c r="B64" s="30" t="s">
        <v>2675</v>
      </c>
      <c r="C64" s="39" t="s">
        <v>174</v>
      </c>
      <c r="D64" s="29" t="s">
        <v>2691</v>
      </c>
      <c r="E64" s="32" t="s">
        <v>2676</v>
      </c>
      <c r="F64" s="33">
        <v>46184</v>
      </c>
      <c r="G64" s="40">
        <v>46187</v>
      </c>
      <c r="H64" s="35">
        <v>21440</v>
      </c>
      <c r="I64" s="36"/>
      <c r="J64" s="35">
        <f>SUM(Table1[[#This Row],[LC Value]:[Amd Value]])</f>
        <v>21440</v>
      </c>
      <c r="K64" s="36">
        <v>4.05</v>
      </c>
      <c r="L64" s="37">
        <v>5200</v>
      </c>
      <c r="M64" s="33" t="s">
        <v>1045</v>
      </c>
      <c r="N64" s="33" t="s">
        <v>1044</v>
      </c>
      <c r="O64" s="38" t="str">
        <f>IFERROR(_xlfn.XLOOKUP(C64, Data!$A$2:$A$236, Data!$C$2:$C$236), "")</f>
        <v>Mr. Reza Sir</v>
      </c>
    </row>
    <row r="65" spans="1:15" ht="42" customHeight="1" x14ac:dyDescent="0.35">
      <c r="A65" s="41">
        <f t="shared" si="0"/>
        <v>704</v>
      </c>
      <c r="B65" s="30" t="s">
        <v>2673</v>
      </c>
      <c r="C65" s="39" t="s">
        <v>174</v>
      </c>
      <c r="D65" s="29" t="s">
        <v>2691</v>
      </c>
      <c r="E65" s="32" t="s">
        <v>2674</v>
      </c>
      <c r="F65" s="33">
        <v>46184</v>
      </c>
      <c r="G65" s="40">
        <v>46187</v>
      </c>
      <c r="H65" s="35">
        <v>35260</v>
      </c>
      <c r="I65" s="36"/>
      <c r="J65" s="35">
        <f>SUM(Table1[[#This Row],[LC Value]:[Amd Value]])</f>
        <v>35260</v>
      </c>
      <c r="K65" s="36">
        <v>4.0999999999999996</v>
      </c>
      <c r="L65" s="37">
        <v>8600</v>
      </c>
      <c r="M65" s="33" t="s">
        <v>1045</v>
      </c>
      <c r="N65" s="33" t="s">
        <v>1044</v>
      </c>
      <c r="O65" s="38" t="str">
        <f>IFERROR(_xlfn.XLOOKUP(C65, Data!$A$2:$A$236, Data!$C$2:$C$236), "")</f>
        <v>Mr. Reza Sir</v>
      </c>
    </row>
    <row r="66" spans="1:15" ht="42" customHeight="1" x14ac:dyDescent="0.35">
      <c r="A66" s="41">
        <f t="shared" si="0"/>
        <v>703</v>
      </c>
      <c r="B66" s="30" t="s">
        <v>2671</v>
      </c>
      <c r="C66" s="39" t="s">
        <v>199</v>
      </c>
      <c r="D66" s="29" t="s">
        <v>98</v>
      </c>
      <c r="E66" s="32" t="s">
        <v>2672</v>
      </c>
      <c r="F66" s="33">
        <v>46184</v>
      </c>
      <c r="G66" s="40">
        <v>46191</v>
      </c>
      <c r="H66" s="35">
        <v>8760</v>
      </c>
      <c r="I66" s="36"/>
      <c r="J66" s="35">
        <f>SUM(Table1[[#This Row],[LC Value]:[Amd Value]])</f>
        <v>8760</v>
      </c>
      <c r="K66" s="36">
        <v>2.4</v>
      </c>
      <c r="L66" s="37">
        <v>3650</v>
      </c>
      <c r="M66" s="33" t="s">
        <v>1560</v>
      </c>
      <c r="N66" s="33" t="s">
        <v>1996</v>
      </c>
      <c r="O66" s="38" t="str">
        <f>IFERROR(_xlfn.XLOOKUP(C66, Data!$A$2:$A$236, Data!$C$2:$C$236), "")</f>
        <v>MD. Sir</v>
      </c>
    </row>
    <row r="67" spans="1:15" ht="42" customHeight="1" x14ac:dyDescent="0.35">
      <c r="A67" s="41">
        <f t="shared" si="0"/>
        <v>702</v>
      </c>
      <c r="B67" s="30" t="s">
        <v>2669</v>
      </c>
      <c r="C67" s="39" t="s">
        <v>199</v>
      </c>
      <c r="D67" s="29" t="s">
        <v>353</v>
      </c>
      <c r="E67" s="32" t="s">
        <v>2670</v>
      </c>
      <c r="F67" s="33">
        <v>46184</v>
      </c>
      <c r="G67" s="40">
        <v>46191</v>
      </c>
      <c r="H67" s="35">
        <v>61625</v>
      </c>
      <c r="I67" s="36"/>
      <c r="J67" s="35">
        <f>SUM(Table1[[#This Row],[LC Value]:[Amd Value]])</f>
        <v>61625</v>
      </c>
      <c r="K67" s="36">
        <v>2.5499999999999998</v>
      </c>
      <c r="L67" s="37">
        <v>24550</v>
      </c>
      <c r="M67" s="33" t="s">
        <v>1560</v>
      </c>
      <c r="N67" s="33" t="s">
        <v>1996</v>
      </c>
      <c r="O67" s="38" t="str">
        <f>IFERROR(_xlfn.XLOOKUP(C67, Data!$A$2:$A$236, Data!$C$2:$C$236), "")</f>
        <v>MD. Sir</v>
      </c>
    </row>
    <row r="68" spans="1:15" ht="42" customHeight="1" x14ac:dyDescent="0.35">
      <c r="A68" s="41">
        <f t="shared" si="0"/>
        <v>701</v>
      </c>
      <c r="B68" s="30" t="s">
        <v>2667</v>
      </c>
      <c r="C68" s="39" t="s">
        <v>199</v>
      </c>
      <c r="D68" s="29" t="s">
        <v>32</v>
      </c>
      <c r="E68" s="32" t="s">
        <v>2668</v>
      </c>
      <c r="F68" s="33">
        <v>46184</v>
      </c>
      <c r="G68" s="40">
        <v>46191</v>
      </c>
      <c r="H68" s="35">
        <f>9280+6510</f>
        <v>15790</v>
      </c>
      <c r="I68" s="36"/>
      <c r="J68" s="35">
        <f>SUM(Table1[[#This Row],[LC Value]:[Amd Value]])</f>
        <v>15790</v>
      </c>
      <c r="K68" s="36">
        <v>2.9</v>
      </c>
      <c r="L68" s="37">
        <f>3200+2100</f>
        <v>5300</v>
      </c>
      <c r="M68" s="33" t="s">
        <v>1560</v>
      </c>
      <c r="N68" s="33" t="s">
        <v>1996</v>
      </c>
      <c r="O68" s="38" t="str">
        <f>IFERROR(_xlfn.XLOOKUP(C68, Data!$A$2:$A$236, Data!$C$2:$C$236), "")</f>
        <v>MD. Sir</v>
      </c>
    </row>
    <row r="69" spans="1:15" ht="42" customHeight="1" x14ac:dyDescent="0.35">
      <c r="A69" s="41">
        <f t="shared" si="0"/>
        <v>700</v>
      </c>
      <c r="B69" s="30" t="s">
        <v>2665</v>
      </c>
      <c r="C69" s="39" t="s">
        <v>200</v>
      </c>
      <c r="D69" s="29" t="s">
        <v>32</v>
      </c>
      <c r="E69" s="32" t="s">
        <v>2666</v>
      </c>
      <c r="F69" s="33">
        <v>46184</v>
      </c>
      <c r="G69" s="40">
        <v>46191</v>
      </c>
      <c r="H69" s="35">
        <v>570807.5</v>
      </c>
      <c r="I69" s="36"/>
      <c r="J69" s="35">
        <f>SUM(Table1[[#This Row],[LC Value]:[Amd Value]])</f>
        <v>570807.5</v>
      </c>
      <c r="K69" s="36">
        <v>3.05</v>
      </c>
      <c r="L69" s="37">
        <v>187150</v>
      </c>
      <c r="M69" s="33" t="s">
        <v>1996</v>
      </c>
      <c r="N69" s="33" t="s">
        <v>1045</v>
      </c>
      <c r="O69" s="38" t="str">
        <f>IFERROR(_xlfn.XLOOKUP(C69, Data!$A$2:$A$236, Data!$C$2:$C$236), "")</f>
        <v>MD. Sir</v>
      </c>
    </row>
    <row r="70" spans="1:15" ht="42" customHeight="1" x14ac:dyDescent="0.35">
      <c r="A70" s="41">
        <f t="shared" si="0"/>
        <v>699</v>
      </c>
      <c r="B70" s="30" t="s">
        <v>2661</v>
      </c>
      <c r="C70" s="39" t="s">
        <v>97</v>
      </c>
      <c r="D70" s="29" t="s">
        <v>98</v>
      </c>
      <c r="E70" s="32" t="s">
        <v>2662</v>
      </c>
      <c r="F70" s="33">
        <v>46184</v>
      </c>
      <c r="G70" s="40">
        <v>46189</v>
      </c>
      <c r="H70" s="35">
        <v>38000</v>
      </c>
      <c r="I70" s="36"/>
      <c r="J70" s="35">
        <f>SUM(Table1[[#This Row],[LC Value]:[Amd Value]])</f>
        <v>38000</v>
      </c>
      <c r="K70" s="36">
        <v>3.8</v>
      </c>
      <c r="L70" s="37">
        <v>10000</v>
      </c>
      <c r="M70" s="33" t="s">
        <v>1996</v>
      </c>
      <c r="N70" s="33" t="s">
        <v>1045</v>
      </c>
      <c r="O70" s="38" t="str">
        <f>IFERROR(_xlfn.XLOOKUP(C70, Data!$A$2:$A$236, Data!$C$2:$C$236), "")</f>
        <v>Mr. Reza Sir</v>
      </c>
    </row>
    <row r="71" spans="1:15" ht="42" customHeight="1" x14ac:dyDescent="0.35">
      <c r="A71" s="41">
        <f t="shared" si="0"/>
        <v>698</v>
      </c>
      <c r="B71" s="30" t="s">
        <v>2659</v>
      </c>
      <c r="C71" s="39" t="s">
        <v>97</v>
      </c>
      <c r="D71" s="29" t="s">
        <v>98</v>
      </c>
      <c r="E71" s="32" t="s">
        <v>2660</v>
      </c>
      <c r="F71" s="33">
        <v>46184</v>
      </c>
      <c r="G71" s="40">
        <v>46189</v>
      </c>
      <c r="H71" s="35">
        <v>36300</v>
      </c>
      <c r="I71" s="36"/>
      <c r="J71" s="35">
        <f>SUM(Table1[[#This Row],[LC Value]:[Amd Value]])</f>
        <v>36300</v>
      </c>
      <c r="K71" s="36">
        <v>3.45</v>
      </c>
      <c r="L71" s="37">
        <v>10500</v>
      </c>
      <c r="M71" s="33" t="s">
        <v>1996</v>
      </c>
      <c r="N71" s="33" t="s">
        <v>1045</v>
      </c>
      <c r="O71" s="38" t="str">
        <f>IFERROR(_xlfn.XLOOKUP(C71, Data!$A$2:$A$236, Data!$C$2:$C$236), "")</f>
        <v>Mr. Reza Sir</v>
      </c>
    </row>
    <row r="72" spans="1:15" ht="42" customHeight="1" x14ac:dyDescent="0.35">
      <c r="A72" s="41">
        <f t="shared" si="0"/>
        <v>697</v>
      </c>
      <c r="B72" s="30" t="s">
        <v>2657</v>
      </c>
      <c r="C72" s="39" t="s">
        <v>180</v>
      </c>
      <c r="D72" s="29" t="s">
        <v>181</v>
      </c>
      <c r="E72" s="32" t="s">
        <v>2658</v>
      </c>
      <c r="F72" s="33" t="s">
        <v>1605</v>
      </c>
      <c r="G72" s="40">
        <v>46184</v>
      </c>
      <c r="H72" s="35">
        <v>20112.5</v>
      </c>
      <c r="I72" s="36"/>
      <c r="J72" s="35">
        <f>SUM(Table1[[#This Row],[LC Value]:[Amd Value]])</f>
        <v>20112.5</v>
      </c>
      <c r="K72" s="36">
        <v>3.65</v>
      </c>
      <c r="L72" s="37">
        <v>5500</v>
      </c>
      <c r="M72" s="33" t="s">
        <v>1996</v>
      </c>
      <c r="N72" s="33" t="s">
        <v>2125</v>
      </c>
      <c r="O72" s="38" t="str">
        <f>IFERROR(_xlfn.XLOOKUP(C72, Data!$A$2:$A$236, Data!$C$2:$C$236), "")</f>
        <v>Mr. Lipu Sir</v>
      </c>
    </row>
    <row r="73" spans="1:15" ht="42" customHeight="1" x14ac:dyDescent="0.35">
      <c r="A73" s="41">
        <f t="shared" si="0"/>
        <v>696</v>
      </c>
      <c r="B73" s="30" t="s">
        <v>2655</v>
      </c>
      <c r="C73" s="39" t="s">
        <v>199</v>
      </c>
      <c r="D73" s="29" t="s">
        <v>98</v>
      </c>
      <c r="E73" s="32" t="s">
        <v>2656</v>
      </c>
      <c r="F73" s="33" t="s">
        <v>1605</v>
      </c>
      <c r="G73" s="40">
        <v>46189</v>
      </c>
      <c r="H73" s="35">
        <v>31780</v>
      </c>
      <c r="I73" s="36"/>
      <c r="J73" s="35">
        <f>SUM(Table1[[#This Row],[LC Value]:[Amd Value]])</f>
        <v>31780</v>
      </c>
      <c r="K73" s="36">
        <v>4.25</v>
      </c>
      <c r="L73" s="37">
        <v>10700</v>
      </c>
      <c r="M73" s="33">
        <v>10000</v>
      </c>
      <c r="N73" s="33" t="s">
        <v>2125</v>
      </c>
      <c r="O73" s="38" t="str">
        <f>IFERROR(_xlfn.XLOOKUP(C73, Data!$A$2:$A$236, Data!$C$2:$C$236), "")</f>
        <v>MD. Sir</v>
      </c>
    </row>
    <row r="74" spans="1:15" ht="42" customHeight="1" x14ac:dyDescent="0.35">
      <c r="A74" s="41">
        <f t="shared" si="0"/>
        <v>695</v>
      </c>
      <c r="B74" s="30" t="s">
        <v>2653</v>
      </c>
      <c r="C74" s="39" t="s">
        <v>68</v>
      </c>
      <c r="D74" s="29" t="s">
        <v>414</v>
      </c>
      <c r="E74" s="32" t="s">
        <v>2654</v>
      </c>
      <c r="F74" s="33" t="s">
        <v>1605</v>
      </c>
      <c r="G74" s="40">
        <v>46189</v>
      </c>
      <c r="H74" s="35">
        <v>63750</v>
      </c>
      <c r="I74" s="36"/>
      <c r="J74" s="35">
        <f>SUM(Table1[[#This Row],[LC Value]:[Amd Value]])</f>
        <v>63750</v>
      </c>
      <c r="K74" s="36">
        <v>4.25</v>
      </c>
      <c r="L74" s="37">
        <v>15000</v>
      </c>
      <c r="M74" s="33">
        <v>10000</v>
      </c>
      <c r="N74" s="33" t="s">
        <v>2125</v>
      </c>
      <c r="O74" s="38" t="str">
        <f>IFERROR(_xlfn.XLOOKUP(C74, Data!$A$2:$A$236, Data!$C$2:$C$236), "")</f>
        <v>Director Sir</v>
      </c>
    </row>
    <row r="75" spans="1:15" ht="42" customHeight="1" x14ac:dyDescent="0.35">
      <c r="A75" s="41">
        <f t="shared" si="0"/>
        <v>694</v>
      </c>
      <c r="B75" s="30" t="s">
        <v>2651</v>
      </c>
      <c r="C75" s="39" t="s">
        <v>68</v>
      </c>
      <c r="D75" s="29" t="s">
        <v>414</v>
      </c>
      <c r="E75" s="32" t="s">
        <v>2652</v>
      </c>
      <c r="F75" s="33" t="s">
        <v>1605</v>
      </c>
      <c r="G75" s="40">
        <v>46189</v>
      </c>
      <c r="H75" s="35">
        <v>42500</v>
      </c>
      <c r="I75" s="36"/>
      <c r="J75" s="35">
        <f>SUM(Table1[[#This Row],[LC Value]:[Amd Value]])</f>
        <v>42500</v>
      </c>
      <c r="K75" s="36">
        <v>4.25</v>
      </c>
      <c r="L75" s="37">
        <v>10000</v>
      </c>
      <c r="M75" s="33">
        <v>10000</v>
      </c>
      <c r="N75" s="33" t="s">
        <v>2125</v>
      </c>
      <c r="O75" s="38" t="str">
        <f>IFERROR(_xlfn.XLOOKUP(C75, Data!$A$2:$A$236, Data!$C$2:$C$236), "")</f>
        <v>Director Sir</v>
      </c>
    </row>
    <row r="76" spans="1:15" ht="42" customHeight="1" x14ac:dyDescent="0.35">
      <c r="A76" s="41">
        <f t="shared" si="0"/>
        <v>693</v>
      </c>
      <c r="B76" s="30" t="s">
        <v>2633</v>
      </c>
      <c r="C76" s="39" t="s">
        <v>200</v>
      </c>
      <c r="D76" s="29" t="s">
        <v>32</v>
      </c>
      <c r="E76" s="32" t="s">
        <v>2634</v>
      </c>
      <c r="F76" s="33" t="s">
        <v>2623</v>
      </c>
      <c r="G76" s="40">
        <v>46183</v>
      </c>
      <c r="H76" s="35">
        <v>12765</v>
      </c>
      <c r="I76" s="36"/>
      <c r="J76" s="35">
        <f>SUM(Table1[[#This Row],[LC Value]:[Amd Value]])</f>
        <v>12765</v>
      </c>
      <c r="K76" s="36">
        <v>3.7</v>
      </c>
      <c r="L76" s="37">
        <v>3450</v>
      </c>
      <c r="M76" s="33" t="s">
        <v>1996</v>
      </c>
      <c r="N76" s="33" t="s">
        <v>2125</v>
      </c>
      <c r="O76" s="38" t="str">
        <f>IFERROR(_xlfn.XLOOKUP(C76, Data!$A$2:$A$236, Data!$C$2:$C$236), "")</f>
        <v>MD. Sir</v>
      </c>
    </row>
    <row r="77" spans="1:15" ht="42" customHeight="1" x14ac:dyDescent="0.35">
      <c r="A77" s="41">
        <f t="shared" si="0"/>
        <v>692</v>
      </c>
      <c r="B77" s="30" t="s">
        <v>2631</v>
      </c>
      <c r="C77" s="39" t="s">
        <v>200</v>
      </c>
      <c r="D77" s="29" t="s">
        <v>32</v>
      </c>
      <c r="E77" s="32" t="s">
        <v>2632</v>
      </c>
      <c r="F77" s="33" t="s">
        <v>1799</v>
      </c>
      <c r="G77" s="40">
        <v>46189</v>
      </c>
      <c r="H77" s="35">
        <v>7920</v>
      </c>
      <c r="I77" s="36"/>
      <c r="J77" s="35">
        <f>SUM(Table1[[#This Row],[LC Value]:[Amd Value]])</f>
        <v>7920</v>
      </c>
      <c r="K77" s="36">
        <v>3.3</v>
      </c>
      <c r="L77" s="37">
        <v>2400</v>
      </c>
      <c r="M77" s="33" t="s">
        <v>1996</v>
      </c>
      <c r="N77" s="33" t="s">
        <v>2125</v>
      </c>
      <c r="O77" s="38" t="str">
        <f>IFERROR(_xlfn.XLOOKUP(C77, Data!$A$2:$A$236, Data!$C$2:$C$236), "")</f>
        <v>MD. Sir</v>
      </c>
    </row>
    <row r="78" spans="1:15" ht="42" customHeight="1" x14ac:dyDescent="0.35">
      <c r="A78" s="41">
        <f t="shared" si="0"/>
        <v>691</v>
      </c>
      <c r="B78" s="30" t="s">
        <v>2628</v>
      </c>
      <c r="C78" s="39" t="s">
        <v>259</v>
      </c>
      <c r="D78" s="29" t="s">
        <v>2629</v>
      </c>
      <c r="E78" s="32" t="s">
        <v>2630</v>
      </c>
      <c r="F78" s="33" t="s">
        <v>2627</v>
      </c>
      <c r="G78" s="40">
        <v>46189</v>
      </c>
      <c r="H78" s="35">
        <v>21300</v>
      </c>
      <c r="I78" s="36"/>
      <c r="J78" s="35">
        <f>SUM(Table1[[#This Row],[LC Value]:[Amd Value]])</f>
        <v>21300</v>
      </c>
      <c r="K78" s="36">
        <v>3.55</v>
      </c>
      <c r="L78" s="37">
        <v>6000</v>
      </c>
      <c r="M78" s="33" t="s">
        <v>1996</v>
      </c>
      <c r="N78" s="33" t="s">
        <v>2125</v>
      </c>
      <c r="O78" s="38" t="str">
        <f>IFERROR(_xlfn.XLOOKUP(C78, Data!$A$2:$A$236, Data!$C$2:$C$236), "")</f>
        <v>Mr. Wadud Sir</v>
      </c>
    </row>
    <row r="79" spans="1:15" ht="42" customHeight="1" x14ac:dyDescent="0.35">
      <c r="A79" s="41">
        <f t="shared" si="0"/>
        <v>690</v>
      </c>
      <c r="B79" s="30" t="s">
        <v>2625</v>
      </c>
      <c r="C79" s="39" t="s">
        <v>200</v>
      </c>
      <c r="D79" s="29" t="s">
        <v>135</v>
      </c>
      <c r="E79" s="32" t="s">
        <v>2626</v>
      </c>
      <c r="F79" s="33" t="s">
        <v>2627</v>
      </c>
      <c r="G79" s="40">
        <v>46189</v>
      </c>
      <c r="H79" s="35">
        <v>58862.5</v>
      </c>
      <c r="I79" s="36"/>
      <c r="J79" s="35">
        <f>SUM(Table1[[#This Row],[LC Value]:[Amd Value]])</f>
        <v>58862.5</v>
      </c>
      <c r="K79" s="36">
        <v>3.25</v>
      </c>
      <c r="L79" s="37">
        <v>18300</v>
      </c>
      <c r="M79" s="33" t="s">
        <v>1083</v>
      </c>
      <c r="N79" s="33" t="s">
        <v>2336</v>
      </c>
      <c r="O79" s="38" t="str">
        <f>IFERROR(_xlfn.XLOOKUP(C79, Data!$A$2:$A$236, Data!$C$2:$C$236), "")</f>
        <v>MD. Sir</v>
      </c>
    </row>
    <row r="80" spans="1:15" ht="42" customHeight="1" x14ac:dyDescent="0.35">
      <c r="A80" s="41">
        <f t="shared" si="0"/>
        <v>689</v>
      </c>
      <c r="B80" s="30" t="s">
        <v>2618</v>
      </c>
      <c r="C80" s="39" t="s">
        <v>197</v>
      </c>
      <c r="D80" s="29" t="s">
        <v>198</v>
      </c>
      <c r="E80" s="32" t="s">
        <v>2619</v>
      </c>
      <c r="F80" s="33" t="s">
        <v>1332</v>
      </c>
      <c r="G80" s="40">
        <v>46180</v>
      </c>
      <c r="H80" s="35">
        <v>42000</v>
      </c>
      <c r="I80" s="36"/>
      <c r="J80" s="35">
        <f>SUM(Table1[[#This Row],[LC Value]:[Amd Value]])</f>
        <v>42000</v>
      </c>
      <c r="K80" s="36">
        <v>4</v>
      </c>
      <c r="L80" s="37">
        <v>10500</v>
      </c>
      <c r="M80" s="33" t="s">
        <v>1083</v>
      </c>
      <c r="N80" s="33" t="s">
        <v>2336</v>
      </c>
      <c r="O80" s="38" t="str">
        <f>IFERROR(_xlfn.XLOOKUP(C80, Data!$A$2:$A$236, Data!$C$2:$C$236), "")</f>
        <v>Mr. Sohel Sir</v>
      </c>
    </row>
    <row r="81" spans="1:15" ht="42" customHeight="1" x14ac:dyDescent="0.35">
      <c r="A81" s="41">
        <f t="shared" si="0"/>
        <v>688</v>
      </c>
      <c r="B81" s="30" t="s">
        <v>2615</v>
      </c>
      <c r="C81" s="39" t="s">
        <v>595</v>
      </c>
      <c r="D81" s="29" t="s">
        <v>222</v>
      </c>
      <c r="E81" s="32" t="s">
        <v>2616</v>
      </c>
      <c r="F81" s="33" t="s">
        <v>2092</v>
      </c>
      <c r="G81" s="40">
        <v>46189</v>
      </c>
      <c r="H81" s="35">
        <v>70030</v>
      </c>
      <c r="I81" s="36"/>
      <c r="J81" s="35">
        <f>SUM(Table1[[#This Row],[LC Value]:[Amd Value]])</f>
        <v>70030</v>
      </c>
      <c r="K81" s="36">
        <v>4.7</v>
      </c>
      <c r="L81" s="37">
        <v>14750</v>
      </c>
      <c r="M81" s="33" t="s">
        <v>2617</v>
      </c>
      <c r="N81" s="33" t="s">
        <v>2368</v>
      </c>
      <c r="O81" s="38" t="str">
        <f>IFERROR(_xlfn.XLOOKUP(C81, Data!$A$2:$A$236, Data!$C$2:$C$236), "")</f>
        <v>MD. Sir</v>
      </c>
    </row>
    <row r="82" spans="1:15" ht="42" customHeight="1" x14ac:dyDescent="0.35">
      <c r="A82" s="41">
        <f t="shared" si="0"/>
        <v>687</v>
      </c>
      <c r="B82" s="30" t="s">
        <v>2610</v>
      </c>
      <c r="C82" s="39" t="s">
        <v>1158</v>
      </c>
      <c r="D82" s="29" t="s">
        <v>2611</v>
      </c>
      <c r="E82" s="32" t="s">
        <v>2612</v>
      </c>
      <c r="F82" s="33" t="s">
        <v>1992</v>
      </c>
      <c r="G82" s="40">
        <v>46182</v>
      </c>
      <c r="H82" s="35">
        <v>32400</v>
      </c>
      <c r="I82" s="36"/>
      <c r="J82" s="35">
        <f>SUM(Table1[[#This Row],[LC Value]:[Amd Value]])</f>
        <v>32400</v>
      </c>
      <c r="K82" s="36">
        <v>3.5</v>
      </c>
      <c r="L82" s="37">
        <v>37000</v>
      </c>
      <c r="M82" s="33" t="s">
        <v>868</v>
      </c>
      <c r="N82" s="33" t="s">
        <v>1082</v>
      </c>
      <c r="O82" s="38" t="str">
        <f>IFERROR(_xlfn.XLOOKUP(C82, Data!$A$2:$A$236, Data!$C$2:$C$236), "")</f>
        <v>Mr. Lipu Sir</v>
      </c>
    </row>
    <row r="83" spans="1:15" ht="42" customHeight="1" x14ac:dyDescent="0.35">
      <c r="A83" s="41">
        <f t="shared" si="0"/>
        <v>686</v>
      </c>
      <c r="B83" s="30" t="s">
        <v>2608</v>
      </c>
      <c r="C83" s="39" t="s">
        <v>201</v>
      </c>
      <c r="D83" s="29" t="s">
        <v>96</v>
      </c>
      <c r="E83" s="32" t="s">
        <v>2609</v>
      </c>
      <c r="F83" s="33" t="s">
        <v>1566</v>
      </c>
      <c r="G83" s="40">
        <v>46177</v>
      </c>
      <c r="H83" s="35">
        <f>105000+23800</f>
        <v>128800</v>
      </c>
      <c r="I83" s="36"/>
      <c r="J83" s="35">
        <f>SUM(Table1[[#This Row],[LC Value]:[Amd Value]])</f>
        <v>128800</v>
      </c>
      <c r="K83" s="36">
        <v>3.5</v>
      </c>
      <c r="L83" s="37">
        <v>37000</v>
      </c>
      <c r="M83" s="33" t="s">
        <v>868</v>
      </c>
      <c r="N83" s="33" t="s">
        <v>1082</v>
      </c>
      <c r="O83" s="38" t="str">
        <f>IFERROR(_xlfn.XLOOKUP(C83, Data!$A$2:$A$236, Data!$C$2:$C$236), "")</f>
        <v>Director Sir</v>
      </c>
    </row>
    <row r="84" spans="1:15" ht="42" customHeight="1" x14ac:dyDescent="0.35">
      <c r="A84" s="41">
        <f t="shared" si="0"/>
        <v>685</v>
      </c>
      <c r="B84" s="30" t="s">
        <v>2606</v>
      </c>
      <c r="C84" s="39" t="s">
        <v>201</v>
      </c>
      <c r="D84" s="29" t="s">
        <v>96</v>
      </c>
      <c r="E84" s="32" t="s">
        <v>2607</v>
      </c>
      <c r="F84" s="33" t="s">
        <v>1566</v>
      </c>
      <c r="G84" s="40">
        <v>46177</v>
      </c>
      <c r="H84" s="35">
        <v>17250</v>
      </c>
      <c r="I84" s="36"/>
      <c r="J84" s="35">
        <f>SUM(Table1[[#This Row],[LC Value]:[Amd Value]])</f>
        <v>17250</v>
      </c>
      <c r="K84" s="36">
        <v>3.45</v>
      </c>
      <c r="L84" s="37">
        <v>5000</v>
      </c>
      <c r="M84" s="33" t="s">
        <v>2108</v>
      </c>
      <c r="N84" s="33" t="s">
        <v>2586</v>
      </c>
      <c r="O84" s="38" t="str">
        <f>IFERROR(_xlfn.XLOOKUP(C84, Data!$A$2:$A$236, Data!$C$2:$C$236), "")</f>
        <v>Director Sir</v>
      </c>
    </row>
    <row r="85" spans="1:15" ht="42" customHeight="1" x14ac:dyDescent="0.35">
      <c r="A85" s="41">
        <f t="shared" si="0"/>
        <v>684</v>
      </c>
      <c r="B85" s="30" t="s">
        <v>2602</v>
      </c>
      <c r="C85" s="39" t="s">
        <v>2603</v>
      </c>
      <c r="D85" s="29" t="s">
        <v>280</v>
      </c>
      <c r="E85" s="32" t="s">
        <v>2604</v>
      </c>
      <c r="F85" s="33" t="s">
        <v>1566</v>
      </c>
      <c r="G85" s="40">
        <v>46177</v>
      </c>
      <c r="H85" s="35">
        <v>54750</v>
      </c>
      <c r="I85" s="36"/>
      <c r="J85" s="35">
        <f>SUM(Table1[[#This Row],[LC Value]:[Amd Value]])</f>
        <v>54750</v>
      </c>
      <c r="K85" s="36">
        <v>3.65</v>
      </c>
      <c r="L85" s="37">
        <v>15000</v>
      </c>
      <c r="M85" s="33" t="s">
        <v>1083</v>
      </c>
      <c r="N85" s="33" t="s">
        <v>2336</v>
      </c>
      <c r="O85" s="38" t="str">
        <f>IFERROR(_xlfn.XLOOKUP(C85, Data!$A$2:$A$236, Data!$C$2:$C$236), "")</f>
        <v>Mr. Lipu Sir</v>
      </c>
    </row>
    <row r="86" spans="1:15" ht="42" customHeight="1" x14ac:dyDescent="0.35">
      <c r="A86" s="41">
        <f t="shared" si="0"/>
        <v>683</v>
      </c>
      <c r="B86" s="30" t="s">
        <v>2598</v>
      </c>
      <c r="C86" s="39" t="s">
        <v>199</v>
      </c>
      <c r="D86" s="29" t="s">
        <v>32</v>
      </c>
      <c r="E86" s="32" t="s">
        <v>2599</v>
      </c>
      <c r="F86" s="33" t="s">
        <v>2092</v>
      </c>
      <c r="G86" s="40">
        <v>46181</v>
      </c>
      <c r="H86" s="35">
        <v>19360</v>
      </c>
      <c r="I86" s="36"/>
      <c r="J86" s="35">
        <f>SUM(Table1[[#This Row],[LC Value]:[Amd Value]])</f>
        <v>19360</v>
      </c>
      <c r="K86" s="36">
        <v>3.6</v>
      </c>
      <c r="L86" s="37">
        <v>5150</v>
      </c>
      <c r="M86" s="33" t="s">
        <v>2108</v>
      </c>
      <c r="N86" s="33" t="s">
        <v>2586</v>
      </c>
      <c r="O86" s="38" t="str">
        <f>IFERROR(_xlfn.XLOOKUP(C86, Data!$A$2:$A$236, Data!$C$2:$C$236), "")</f>
        <v>MD. Sir</v>
      </c>
    </row>
    <row r="87" spans="1:15" ht="42" customHeight="1" x14ac:dyDescent="0.35">
      <c r="A87" s="41">
        <f t="shared" si="0"/>
        <v>682</v>
      </c>
      <c r="B87" s="30" t="s">
        <v>2596</v>
      </c>
      <c r="C87" s="39" t="s">
        <v>200</v>
      </c>
      <c r="D87" s="29" t="s">
        <v>98</v>
      </c>
      <c r="E87" s="32" t="s">
        <v>2597</v>
      </c>
      <c r="F87" s="33" t="s">
        <v>2092</v>
      </c>
      <c r="G87" s="40">
        <v>46181</v>
      </c>
      <c r="H87" s="35">
        <v>10965</v>
      </c>
      <c r="I87" s="36"/>
      <c r="J87" s="35">
        <f>SUM(Table1[[#This Row],[LC Value]:[Amd Value]])</f>
        <v>10965</v>
      </c>
      <c r="K87" s="36">
        <v>4.3</v>
      </c>
      <c r="L87" s="37">
        <v>2550</v>
      </c>
      <c r="M87" s="33" t="s">
        <v>2108</v>
      </c>
      <c r="N87" s="33" t="s">
        <v>2586</v>
      </c>
      <c r="O87" s="38" t="str">
        <f>IFERROR(_xlfn.XLOOKUP(C87, Data!$A$2:$A$236, Data!$C$2:$C$236), "")</f>
        <v>MD. Sir</v>
      </c>
    </row>
    <row r="88" spans="1:15" ht="42" customHeight="1" x14ac:dyDescent="0.35">
      <c r="A88" s="41">
        <f t="shared" si="0"/>
        <v>681</v>
      </c>
      <c r="B88" s="30" t="s">
        <v>2592</v>
      </c>
      <c r="C88" s="39" t="s">
        <v>200</v>
      </c>
      <c r="D88" s="29" t="s">
        <v>135</v>
      </c>
      <c r="E88" s="32" t="s">
        <v>2593</v>
      </c>
      <c r="F88" s="33" t="s">
        <v>2092</v>
      </c>
      <c r="G88" s="40">
        <v>46182</v>
      </c>
      <c r="H88" s="35">
        <v>54600</v>
      </c>
      <c r="I88" s="36"/>
      <c r="J88" s="35">
        <f>SUM(Table1[[#This Row],[LC Value]:[Amd Value]])</f>
        <v>54600</v>
      </c>
      <c r="K88" s="36">
        <v>4.2</v>
      </c>
      <c r="L88" s="37">
        <v>13000</v>
      </c>
      <c r="M88" s="33" t="s">
        <v>2108</v>
      </c>
      <c r="N88" s="33" t="s">
        <v>2586</v>
      </c>
      <c r="O88" s="38" t="str">
        <f>IFERROR(_xlfn.XLOOKUP(C88, Data!$A$2:$A$236, Data!$C$2:$C$236), "")</f>
        <v>MD. Sir</v>
      </c>
    </row>
    <row r="89" spans="1:15" ht="42" customHeight="1" x14ac:dyDescent="0.35">
      <c r="A89" s="41">
        <f t="shared" si="0"/>
        <v>680</v>
      </c>
      <c r="B89" s="30" t="s">
        <v>2590</v>
      </c>
      <c r="C89" s="39" t="s">
        <v>200</v>
      </c>
      <c r="D89" s="29" t="s">
        <v>135</v>
      </c>
      <c r="E89" s="32" t="s">
        <v>2591</v>
      </c>
      <c r="F89" s="33" t="s">
        <v>2092</v>
      </c>
      <c r="G89" s="40">
        <v>46182</v>
      </c>
      <c r="H89" s="35">
        <v>18465</v>
      </c>
      <c r="I89" s="36"/>
      <c r="J89" s="35">
        <f>SUM(Table1[[#This Row],[LC Value]:[Amd Value]])</f>
        <v>18465</v>
      </c>
      <c r="K89" s="36">
        <v>3.6</v>
      </c>
      <c r="L89" s="37">
        <v>4900</v>
      </c>
      <c r="M89" s="33" t="s">
        <v>2108</v>
      </c>
      <c r="N89" s="33" t="s">
        <v>2586</v>
      </c>
      <c r="O89" s="38" t="str">
        <f>IFERROR(_xlfn.XLOOKUP(C89, Data!$A$2:$A$236, Data!$C$2:$C$236), "")</f>
        <v>MD. Sir</v>
      </c>
    </row>
    <row r="90" spans="1:15" ht="42" customHeight="1" x14ac:dyDescent="0.35">
      <c r="A90" s="41">
        <f t="shared" si="0"/>
        <v>679</v>
      </c>
      <c r="B90" s="30" t="s">
        <v>2584</v>
      </c>
      <c r="C90" s="39" t="s">
        <v>201</v>
      </c>
      <c r="D90" s="29" t="s">
        <v>95</v>
      </c>
      <c r="E90" s="32" t="s">
        <v>2585</v>
      </c>
      <c r="F90" s="33" t="s">
        <v>2022</v>
      </c>
      <c r="G90" s="40">
        <v>46176</v>
      </c>
      <c r="H90" s="35">
        <v>11655</v>
      </c>
      <c r="I90" s="36"/>
      <c r="J90" s="35">
        <f>SUM(Table1[[#This Row],[LC Value]:[Amd Value]])</f>
        <v>11655</v>
      </c>
      <c r="K90" s="36">
        <v>3.15</v>
      </c>
      <c r="L90" s="37">
        <v>3700</v>
      </c>
      <c r="M90" s="33" t="s">
        <v>2108</v>
      </c>
      <c r="N90" s="33" t="s">
        <v>2586</v>
      </c>
      <c r="O90" s="38" t="str">
        <f>IFERROR(_xlfn.XLOOKUP(C90, Data!$A$2:$A$236, Data!$C$2:$C$236), "")</f>
        <v>Director Sir</v>
      </c>
    </row>
    <row r="91" spans="1:15" ht="42" customHeight="1" x14ac:dyDescent="0.35">
      <c r="A91" s="41">
        <f t="shared" si="0"/>
        <v>678</v>
      </c>
      <c r="B91" s="30" t="s">
        <v>2582</v>
      </c>
      <c r="C91" s="39" t="s">
        <v>199</v>
      </c>
      <c r="D91" s="29" t="s">
        <v>98</v>
      </c>
      <c r="E91" s="32" t="s">
        <v>2583</v>
      </c>
      <c r="F91" s="33" t="s">
        <v>2022</v>
      </c>
      <c r="G91" s="40">
        <v>46177</v>
      </c>
      <c r="H91" s="35">
        <v>44625</v>
      </c>
      <c r="I91" s="36"/>
      <c r="J91" s="35">
        <f>SUM(Table1[[#This Row],[LC Value]:[Amd Value]])</f>
        <v>44625</v>
      </c>
      <c r="K91" s="36">
        <v>3.75</v>
      </c>
      <c r="L91" s="37">
        <v>11900</v>
      </c>
      <c r="M91" s="33" t="s">
        <v>1082</v>
      </c>
      <c r="N91" s="33" t="s">
        <v>1083</v>
      </c>
      <c r="O91" s="38" t="str">
        <f>IFERROR(_xlfn.XLOOKUP(C91, Data!$A$2:$A$236, Data!$C$2:$C$236), "")</f>
        <v>MD. Sir</v>
      </c>
    </row>
    <row r="92" spans="1:15" ht="42" customHeight="1" x14ac:dyDescent="0.35">
      <c r="A92" s="41">
        <f t="shared" si="0"/>
        <v>677</v>
      </c>
      <c r="B92" s="30" t="s">
        <v>2580</v>
      </c>
      <c r="C92" s="39" t="s">
        <v>199</v>
      </c>
      <c r="D92" s="29" t="s">
        <v>98</v>
      </c>
      <c r="E92" s="32" t="s">
        <v>2581</v>
      </c>
      <c r="F92" s="33" t="s">
        <v>2022</v>
      </c>
      <c r="G92" s="40">
        <v>46177</v>
      </c>
      <c r="H92" s="35">
        <v>36117.5</v>
      </c>
      <c r="I92" s="36"/>
      <c r="J92" s="35">
        <f>SUM(Table1[[#This Row],[LC Value]:[Amd Value]])</f>
        <v>36117.5</v>
      </c>
      <c r="K92" s="36">
        <v>3</v>
      </c>
      <c r="L92" s="37">
        <v>14450</v>
      </c>
      <c r="M92" s="33" t="s">
        <v>1082</v>
      </c>
      <c r="N92" s="33" t="s">
        <v>1083</v>
      </c>
      <c r="O92" s="38" t="str">
        <f>IFERROR(_xlfn.XLOOKUP(C92, Data!$A$2:$A$236, Data!$C$2:$C$236), "")</f>
        <v>MD. Sir</v>
      </c>
    </row>
    <row r="93" spans="1:15" ht="42" customHeight="1" x14ac:dyDescent="0.35">
      <c r="A93" s="41">
        <f t="shared" si="0"/>
        <v>676</v>
      </c>
      <c r="B93" s="30" t="s">
        <v>2578</v>
      </c>
      <c r="C93" s="39" t="s">
        <v>199</v>
      </c>
      <c r="D93" s="29" t="s">
        <v>98</v>
      </c>
      <c r="E93" s="32" t="s">
        <v>2579</v>
      </c>
      <c r="F93" s="33" t="s">
        <v>1566</v>
      </c>
      <c r="G93" s="40">
        <v>46181</v>
      </c>
      <c r="H93" s="35">
        <v>88090</v>
      </c>
      <c r="I93" s="36"/>
      <c r="J93" s="35">
        <f>SUM(Table1[[#This Row],[LC Value]:[Amd Value]])</f>
        <v>88090</v>
      </c>
      <c r="K93" s="36">
        <v>3.1</v>
      </c>
      <c r="L93" s="37">
        <v>26050</v>
      </c>
      <c r="M93" s="33" t="s">
        <v>1082</v>
      </c>
      <c r="N93" s="33" t="s">
        <v>1083</v>
      </c>
      <c r="O93" s="38" t="str">
        <f>IFERROR(_xlfn.XLOOKUP(C93, Data!$A$2:$A$236, Data!$C$2:$C$236), "")</f>
        <v>MD. Sir</v>
      </c>
    </row>
    <row r="94" spans="1:15" ht="42" customHeight="1" x14ac:dyDescent="0.35">
      <c r="A94" s="41">
        <f t="shared" si="0"/>
        <v>675</v>
      </c>
      <c r="B94" s="30" t="s">
        <v>2576</v>
      </c>
      <c r="C94" s="39" t="s">
        <v>199</v>
      </c>
      <c r="D94" s="29" t="s">
        <v>98</v>
      </c>
      <c r="E94" s="32" t="s">
        <v>2577</v>
      </c>
      <c r="F94" s="33" t="s">
        <v>1566</v>
      </c>
      <c r="G94" s="40">
        <v>46181</v>
      </c>
      <c r="H94" s="35">
        <v>140275</v>
      </c>
      <c r="I94" s="36"/>
      <c r="J94" s="35">
        <f>SUM(Table1[[#This Row],[LC Value]:[Amd Value]])</f>
        <v>140275</v>
      </c>
      <c r="K94" s="36">
        <v>3.1</v>
      </c>
      <c r="L94" s="37">
        <v>45250</v>
      </c>
      <c r="M94" s="33" t="s">
        <v>1082</v>
      </c>
      <c r="N94" s="33" t="s">
        <v>1083</v>
      </c>
      <c r="O94" s="38" t="str">
        <f>IFERROR(_xlfn.XLOOKUP(C94, Data!$A$2:$A$236, Data!$C$2:$C$236), "")</f>
        <v>MD. Sir</v>
      </c>
    </row>
    <row r="95" spans="1:15" ht="42" customHeight="1" x14ac:dyDescent="0.35">
      <c r="A95" s="41">
        <f t="shared" si="0"/>
        <v>674</v>
      </c>
      <c r="B95" s="30" t="s">
        <v>2569</v>
      </c>
      <c r="C95" s="39" t="s">
        <v>199</v>
      </c>
      <c r="D95" s="29" t="s">
        <v>98</v>
      </c>
      <c r="E95" s="32" t="s">
        <v>2570</v>
      </c>
      <c r="F95" s="33" t="s">
        <v>2022</v>
      </c>
      <c r="G95" s="40">
        <v>46177</v>
      </c>
      <c r="H95" s="35">
        <v>10400</v>
      </c>
      <c r="I95" s="36"/>
      <c r="J95" s="35">
        <f>SUM(Table1[[#This Row],[LC Value]:[Amd Value]])</f>
        <v>10400</v>
      </c>
      <c r="K95" s="36">
        <v>2.6</v>
      </c>
      <c r="L95" s="37">
        <v>4000</v>
      </c>
      <c r="M95" s="33" t="s">
        <v>1082</v>
      </c>
      <c r="N95" s="33" t="s">
        <v>1083</v>
      </c>
      <c r="O95" s="38" t="str">
        <f>IFERROR(_xlfn.XLOOKUP(C95, Data!$A$2:$A$236, Data!$C$2:$C$236), "")</f>
        <v>MD. Sir</v>
      </c>
    </row>
    <row r="96" spans="1:15" ht="42" customHeight="1" x14ac:dyDescent="0.35">
      <c r="A96" s="41">
        <f t="shared" si="0"/>
        <v>673</v>
      </c>
      <c r="B96" s="30" t="s">
        <v>2567</v>
      </c>
      <c r="C96" s="39" t="s">
        <v>2566</v>
      </c>
      <c r="D96" s="29" t="s">
        <v>191</v>
      </c>
      <c r="E96" s="32" t="s">
        <v>2568</v>
      </c>
      <c r="F96" s="33" t="s">
        <v>2022</v>
      </c>
      <c r="G96" s="40">
        <v>46177</v>
      </c>
      <c r="H96" s="35">
        <v>106500</v>
      </c>
      <c r="I96" s="36"/>
      <c r="J96" s="35">
        <f>SUM(Table1[[#This Row],[LC Value]:[Amd Value]])</f>
        <v>106500</v>
      </c>
      <c r="K96" s="36">
        <v>3.55</v>
      </c>
      <c r="L96" s="37">
        <v>30000</v>
      </c>
      <c r="M96" s="33" t="s">
        <v>1082</v>
      </c>
      <c r="N96" s="33" t="s">
        <v>1083</v>
      </c>
      <c r="O96" s="38" t="str">
        <f>IFERROR(_xlfn.XLOOKUP(C96, Data!$A$2:$A$236, Data!$C$2:$C$236), "")</f>
        <v>Mr. Lipu Sir</v>
      </c>
    </row>
    <row r="97" spans="1:15" ht="42" customHeight="1" x14ac:dyDescent="0.35">
      <c r="A97" s="41">
        <f t="shared" si="0"/>
        <v>672</v>
      </c>
      <c r="B97" s="30" t="s">
        <v>2564</v>
      </c>
      <c r="C97" s="39" t="s">
        <v>90</v>
      </c>
      <c r="D97" s="29" t="s">
        <v>739</v>
      </c>
      <c r="E97" s="32" t="s">
        <v>2565</v>
      </c>
      <c r="F97" s="33" t="s">
        <v>2022</v>
      </c>
      <c r="G97" s="40">
        <v>46176</v>
      </c>
      <c r="H97" s="35">
        <v>12425</v>
      </c>
      <c r="I97" s="36"/>
      <c r="J97" s="35">
        <f>SUM(Table1[[#This Row],[LC Value]:[Amd Value]])</f>
        <v>12425</v>
      </c>
      <c r="K97" s="36">
        <v>3.55</v>
      </c>
      <c r="L97" s="37">
        <v>3500</v>
      </c>
      <c r="M97" s="33" t="s">
        <v>1082</v>
      </c>
      <c r="N97" s="33" t="s">
        <v>1083</v>
      </c>
      <c r="O97" s="38" t="str">
        <f>IFERROR(_xlfn.XLOOKUP(C97, Data!$A$2:$A$236, Data!$C$2:$C$236), "")</f>
        <v>Mr. Wadud Sir</v>
      </c>
    </row>
    <row r="98" spans="1:15" ht="42" customHeight="1" x14ac:dyDescent="0.35">
      <c r="A98" s="41">
        <f t="shared" si="0"/>
        <v>671</v>
      </c>
      <c r="B98" s="30" t="s">
        <v>2560</v>
      </c>
      <c r="C98" s="39" t="s">
        <v>199</v>
      </c>
      <c r="D98" s="29" t="s">
        <v>32</v>
      </c>
      <c r="E98" s="32" t="s">
        <v>2561</v>
      </c>
      <c r="F98" s="33" t="s">
        <v>2022</v>
      </c>
      <c r="G98" s="40">
        <v>46182</v>
      </c>
      <c r="H98" s="35">
        <v>80025</v>
      </c>
      <c r="I98" s="36"/>
      <c r="J98" s="35">
        <f>SUM(Table1[[#This Row],[LC Value]:[Amd Value]])</f>
        <v>80025</v>
      </c>
      <c r="K98" s="36">
        <v>4.25</v>
      </c>
      <c r="L98" s="37">
        <v>22200</v>
      </c>
      <c r="M98" s="33" t="s">
        <v>2557</v>
      </c>
      <c r="N98" s="33" t="s">
        <v>2556</v>
      </c>
      <c r="O98" s="38" t="str">
        <f>IFERROR(_xlfn.XLOOKUP(C98, Data!$A$2:$A$236, Data!$C$2:$C$236), "")</f>
        <v>MD. Sir</v>
      </c>
    </row>
    <row r="99" spans="1:15" ht="42" customHeight="1" x14ac:dyDescent="0.35">
      <c r="A99" s="41">
        <f t="shared" si="0"/>
        <v>670</v>
      </c>
      <c r="B99" s="30" t="s">
        <v>2554</v>
      </c>
      <c r="C99" s="39" t="s">
        <v>88</v>
      </c>
      <c r="D99" s="29" t="s">
        <v>113</v>
      </c>
      <c r="E99" s="32" t="s">
        <v>2555</v>
      </c>
      <c r="F99" s="33" t="s">
        <v>2022</v>
      </c>
      <c r="G99" s="40">
        <v>46177</v>
      </c>
      <c r="H99" s="35">
        <v>34100</v>
      </c>
      <c r="I99" s="36"/>
      <c r="J99" s="35">
        <f>SUM(Table1[[#This Row],[LC Value]:[Amd Value]])</f>
        <v>34100</v>
      </c>
      <c r="K99" s="36">
        <v>4.25</v>
      </c>
      <c r="L99" s="37">
        <v>8000</v>
      </c>
      <c r="M99" s="33" t="s">
        <v>2557</v>
      </c>
      <c r="N99" s="33" t="s">
        <v>2556</v>
      </c>
      <c r="O99" s="38" t="str">
        <f>IFERROR(_xlfn.XLOOKUP(C99, Data!$A$2:$A$236, Data!$C$2:$C$236), "")</f>
        <v>Mr. Lipu Sir</v>
      </c>
    </row>
    <row r="100" spans="1:15" ht="42" customHeight="1" x14ac:dyDescent="0.35">
      <c r="A100" s="41">
        <f t="shared" si="0"/>
        <v>669</v>
      </c>
      <c r="B100" s="30" t="s">
        <v>2552</v>
      </c>
      <c r="C100" s="39" t="s">
        <v>245</v>
      </c>
      <c r="D100" s="29" t="s">
        <v>59</v>
      </c>
      <c r="E100" s="32" t="s">
        <v>2553</v>
      </c>
      <c r="F100" s="33" t="s">
        <v>1718</v>
      </c>
      <c r="G100" s="40">
        <v>46177</v>
      </c>
      <c r="H100" s="35">
        <v>7235</v>
      </c>
      <c r="I100" s="36"/>
      <c r="J100" s="35">
        <f>SUM(Table1[[#This Row],[LC Value]:[Amd Value]])</f>
        <v>7235</v>
      </c>
      <c r="K100" s="36">
        <v>3.5</v>
      </c>
      <c r="L100" s="37">
        <v>2050</v>
      </c>
      <c r="M100" s="33" t="s">
        <v>1602</v>
      </c>
      <c r="N100" s="33" t="s">
        <v>2375</v>
      </c>
      <c r="O100" s="38" t="str">
        <f>IFERROR(_xlfn.XLOOKUP(C100, Data!$A$2:$A$236, Data!$C$2:$C$236), "")</f>
        <v>Mr. Reza Sir</v>
      </c>
    </row>
    <row r="101" spans="1:15" ht="42" customHeight="1" x14ac:dyDescent="0.35">
      <c r="A101" s="41">
        <f t="shared" si="0"/>
        <v>668</v>
      </c>
      <c r="B101" s="30" t="s">
        <v>2550</v>
      </c>
      <c r="C101" s="39" t="s">
        <v>199</v>
      </c>
      <c r="D101" s="29" t="s">
        <v>32</v>
      </c>
      <c r="E101" s="32" t="s">
        <v>2551</v>
      </c>
      <c r="F101" s="33" t="s">
        <v>1718</v>
      </c>
      <c r="G101" s="40">
        <v>46177</v>
      </c>
      <c r="H101" s="35">
        <v>125715</v>
      </c>
      <c r="I101" s="36"/>
      <c r="J101" s="35">
        <f>SUM(Table1[[#This Row],[LC Value]:[Amd Value]])</f>
        <v>125715</v>
      </c>
      <c r="K101" s="36">
        <v>2.9</v>
      </c>
      <c r="L101" s="37">
        <v>43350</v>
      </c>
      <c r="M101" s="33" t="s">
        <v>1602</v>
      </c>
      <c r="N101" s="33" t="s">
        <v>2375</v>
      </c>
      <c r="O101" s="38" t="str">
        <f>IFERROR(_xlfn.XLOOKUP(C101, Data!$A$2:$A$236, Data!$C$2:$C$236), "")</f>
        <v>MD. Sir</v>
      </c>
    </row>
    <row r="102" spans="1:15" ht="42" customHeight="1" x14ac:dyDescent="0.35">
      <c r="A102" s="41">
        <f t="shared" si="0"/>
        <v>667</v>
      </c>
      <c r="B102" s="30" t="s">
        <v>2548</v>
      </c>
      <c r="C102" s="39" t="s">
        <v>199</v>
      </c>
      <c r="D102" s="29" t="s">
        <v>98</v>
      </c>
      <c r="E102" s="32" t="s">
        <v>2549</v>
      </c>
      <c r="F102" s="33" t="s">
        <v>1718</v>
      </c>
      <c r="G102" s="40">
        <v>46166</v>
      </c>
      <c r="H102" s="35">
        <v>53650</v>
      </c>
      <c r="I102" s="36"/>
      <c r="J102" s="35">
        <f>SUM(Table1[[#This Row],[LC Value]:[Amd Value]])</f>
        <v>53650</v>
      </c>
      <c r="K102" s="36">
        <v>2.9</v>
      </c>
      <c r="L102" s="37">
        <v>18500</v>
      </c>
      <c r="M102" s="33" t="s">
        <v>1602</v>
      </c>
      <c r="N102" s="33" t="s">
        <v>2375</v>
      </c>
      <c r="O102" s="38" t="str">
        <f>IFERROR(_xlfn.XLOOKUP(C102, Data!$A$2:$A$236, Data!$C$2:$C$236), "")</f>
        <v>MD. Sir</v>
      </c>
    </row>
    <row r="103" spans="1:15" ht="42" customHeight="1" x14ac:dyDescent="0.35">
      <c r="A103" s="41">
        <f t="shared" si="0"/>
        <v>666</v>
      </c>
      <c r="B103" s="30" t="s">
        <v>2544</v>
      </c>
      <c r="C103" s="39" t="s">
        <v>200</v>
      </c>
      <c r="D103" s="29" t="s">
        <v>135</v>
      </c>
      <c r="E103" s="32" t="s">
        <v>2545</v>
      </c>
      <c r="F103" s="33" t="s">
        <v>1718</v>
      </c>
      <c r="G103" s="40">
        <v>46177</v>
      </c>
      <c r="H103" s="35">
        <v>39110</v>
      </c>
      <c r="I103" s="36"/>
      <c r="J103" s="35">
        <f>SUM(Table1[[#This Row],[LC Value]:[Amd Value]])</f>
        <v>39110</v>
      </c>
      <c r="K103" s="36">
        <v>3.15</v>
      </c>
      <c r="L103" s="37">
        <v>12550</v>
      </c>
      <c r="M103" s="33" t="s">
        <v>1602</v>
      </c>
      <c r="N103" s="33" t="s">
        <v>2375</v>
      </c>
      <c r="O103" s="38" t="str">
        <f>IFERROR(_xlfn.XLOOKUP(C103, Data!$A$2:$A$236, Data!$C$2:$C$236), "")</f>
        <v>MD. Sir</v>
      </c>
    </row>
    <row r="104" spans="1:15" ht="42" customHeight="1" x14ac:dyDescent="0.35">
      <c r="A104" s="41">
        <f t="shared" si="0"/>
        <v>665</v>
      </c>
      <c r="B104" s="30" t="s">
        <v>2542</v>
      </c>
      <c r="C104" s="39" t="s">
        <v>199</v>
      </c>
      <c r="D104" s="29" t="s">
        <v>353</v>
      </c>
      <c r="E104" s="32" t="s">
        <v>2543</v>
      </c>
      <c r="F104" s="33" t="s">
        <v>1718</v>
      </c>
      <c r="G104" s="40">
        <v>46176</v>
      </c>
      <c r="H104" s="35">
        <v>51110</v>
      </c>
      <c r="I104" s="36"/>
      <c r="J104" s="35">
        <f>SUM(Table1[[#This Row],[LC Value]:[Amd Value]])</f>
        <v>51110</v>
      </c>
      <c r="K104" s="36">
        <v>3.8</v>
      </c>
      <c r="L104" s="37">
        <v>13450</v>
      </c>
      <c r="M104" s="33" t="s">
        <v>1602</v>
      </c>
      <c r="N104" s="33" t="s">
        <v>2375</v>
      </c>
      <c r="O104" s="38" t="str">
        <f>IFERROR(_xlfn.XLOOKUP(C104, Data!$A$2:$A$236, Data!$C$2:$C$236), "")</f>
        <v>MD. Sir</v>
      </c>
    </row>
    <row r="105" spans="1:15" ht="42" customHeight="1" x14ac:dyDescent="0.35">
      <c r="A105" s="41">
        <f t="shared" si="0"/>
        <v>664</v>
      </c>
      <c r="B105" s="30" t="s">
        <v>2536</v>
      </c>
      <c r="C105" s="39" t="s">
        <v>259</v>
      </c>
      <c r="D105" s="29" t="s">
        <v>95</v>
      </c>
      <c r="E105" s="32" t="s">
        <v>2537</v>
      </c>
      <c r="F105" s="33" t="s">
        <v>1718</v>
      </c>
      <c r="G105" s="40">
        <v>46177</v>
      </c>
      <c r="H105" s="35">
        <v>72050</v>
      </c>
      <c r="I105" s="36"/>
      <c r="J105" s="35">
        <f>SUM(Table1[[#This Row],[LC Value]:[Amd Value]])</f>
        <v>72050</v>
      </c>
      <c r="K105" s="36">
        <v>3.5</v>
      </c>
      <c r="L105" s="37">
        <v>20500</v>
      </c>
      <c r="M105" s="33" t="s">
        <v>1083</v>
      </c>
      <c r="N105" s="33" t="s">
        <v>2336</v>
      </c>
      <c r="O105" s="38" t="str">
        <f>IFERROR(_xlfn.XLOOKUP(C105, Data!$A$2:$A$236, Data!$C$2:$C$236), "")</f>
        <v>Mr. Wadud Sir</v>
      </c>
    </row>
    <row r="106" spans="1:15" ht="42" customHeight="1" x14ac:dyDescent="0.35">
      <c r="A106" s="41">
        <f t="shared" si="0"/>
        <v>663</v>
      </c>
      <c r="B106" s="30" t="s">
        <v>2534</v>
      </c>
      <c r="C106" s="39" t="s">
        <v>201</v>
      </c>
      <c r="D106" s="29" t="s">
        <v>21</v>
      </c>
      <c r="E106" s="32" t="s">
        <v>2535</v>
      </c>
      <c r="F106" s="33" t="s">
        <v>1571</v>
      </c>
      <c r="G106" s="40">
        <v>46165</v>
      </c>
      <c r="H106" s="35">
        <v>82000</v>
      </c>
      <c r="I106" s="36"/>
      <c r="J106" s="35">
        <f>SUM(Table1[[#This Row],[LC Value]:[Amd Value]])</f>
        <v>82000</v>
      </c>
      <c r="K106" s="36">
        <v>4.0999999999999996</v>
      </c>
      <c r="L106" s="37">
        <v>20000</v>
      </c>
      <c r="M106" s="33" t="s">
        <v>1962</v>
      </c>
      <c r="N106" s="33" t="s">
        <v>2333</v>
      </c>
      <c r="O106" s="38" t="str">
        <f>IFERROR(_xlfn.XLOOKUP(C106, Data!$A$2:$A$236, Data!$C$2:$C$236), "")</f>
        <v>Director Sir</v>
      </c>
    </row>
    <row r="107" spans="1:15" ht="42" customHeight="1" x14ac:dyDescent="0.35">
      <c r="A107" s="41">
        <f t="shared" si="0"/>
        <v>662</v>
      </c>
      <c r="B107" s="30" t="s">
        <v>2532</v>
      </c>
      <c r="C107" s="39" t="s">
        <v>201</v>
      </c>
      <c r="D107" s="29" t="s">
        <v>21</v>
      </c>
      <c r="E107" s="32" t="s">
        <v>2533</v>
      </c>
      <c r="F107" s="33" t="s">
        <v>1571</v>
      </c>
      <c r="G107" s="40">
        <v>46165</v>
      </c>
      <c r="H107" s="35">
        <v>46800</v>
      </c>
      <c r="I107" s="36"/>
      <c r="J107" s="35">
        <f>SUM(Table1[[#This Row],[LC Value]:[Amd Value]])</f>
        <v>46800</v>
      </c>
      <c r="K107" s="36">
        <v>3.6</v>
      </c>
      <c r="L107" s="37">
        <v>13000</v>
      </c>
      <c r="M107" s="33" t="s">
        <v>2122</v>
      </c>
      <c r="N107" s="33" t="s">
        <v>1083</v>
      </c>
      <c r="O107" s="38" t="str">
        <f>IFERROR(_xlfn.XLOOKUP(C107, Data!$A$2:$A$236, Data!$C$2:$C$236), "")</f>
        <v>Director Sir</v>
      </c>
    </row>
    <row r="108" spans="1:15" ht="42" customHeight="1" x14ac:dyDescent="0.35">
      <c r="A108" s="41">
        <f t="shared" si="0"/>
        <v>661</v>
      </c>
      <c r="B108" s="30" t="s">
        <v>2528</v>
      </c>
      <c r="C108" s="39" t="s">
        <v>90</v>
      </c>
      <c r="D108" s="29" t="s">
        <v>739</v>
      </c>
      <c r="E108" s="32" t="s">
        <v>2529</v>
      </c>
      <c r="F108" s="33" t="s">
        <v>1443</v>
      </c>
      <c r="G108" s="40">
        <v>46165</v>
      </c>
      <c r="H108" s="35">
        <v>14250</v>
      </c>
      <c r="I108" s="36"/>
      <c r="J108" s="35">
        <f>SUM(Table1[[#This Row],[LC Value]:[Amd Value]])</f>
        <v>14250</v>
      </c>
      <c r="K108" s="36">
        <v>9.5</v>
      </c>
      <c r="L108" s="37">
        <v>1500</v>
      </c>
      <c r="M108" s="33" t="s">
        <v>1083</v>
      </c>
      <c r="N108" s="33" t="s">
        <v>2336</v>
      </c>
      <c r="O108" s="38" t="str">
        <f>IFERROR(_xlfn.XLOOKUP(C108, Data!$A$2:$A$236, Data!$C$2:$C$236), "")</f>
        <v>Mr. Wadud Sir</v>
      </c>
    </row>
    <row r="109" spans="1:15" ht="42" customHeight="1" x14ac:dyDescent="0.35">
      <c r="A109" s="41">
        <f t="shared" si="0"/>
        <v>660</v>
      </c>
      <c r="B109" s="30" t="s">
        <v>2526</v>
      </c>
      <c r="C109" s="39" t="s">
        <v>288</v>
      </c>
      <c r="D109" s="29" t="s">
        <v>1168</v>
      </c>
      <c r="E109" s="32" t="s">
        <v>2527</v>
      </c>
      <c r="F109" s="33" t="s">
        <v>1443</v>
      </c>
      <c r="G109" s="40">
        <v>46166</v>
      </c>
      <c r="H109" s="35">
        <v>85800</v>
      </c>
      <c r="I109" s="36"/>
      <c r="J109" s="35">
        <f>SUM(Table1[[#This Row],[LC Value]:[Amd Value]])</f>
        <v>85800</v>
      </c>
      <c r="K109" s="36">
        <v>3.9</v>
      </c>
      <c r="L109" s="37">
        <v>22000</v>
      </c>
      <c r="M109" s="33" t="s">
        <v>1082</v>
      </c>
      <c r="N109" s="33" t="s">
        <v>1083</v>
      </c>
      <c r="O109" s="38" t="str">
        <f>IFERROR(_xlfn.XLOOKUP(C109, Data!$A$2:$A$236, Data!$C$2:$C$236), "")</f>
        <v>Mr. Reza Sir</v>
      </c>
    </row>
    <row r="110" spans="1:15" ht="42" customHeight="1" x14ac:dyDescent="0.35">
      <c r="A110" s="41">
        <f t="shared" si="0"/>
        <v>659</v>
      </c>
      <c r="B110" s="30" t="s">
        <v>2524</v>
      </c>
      <c r="C110" s="39" t="s">
        <v>138</v>
      </c>
      <c r="D110" s="29" t="s">
        <v>1125</v>
      </c>
      <c r="E110" s="32" t="s">
        <v>2525</v>
      </c>
      <c r="F110" s="33" t="s">
        <v>1443</v>
      </c>
      <c r="G110" s="40">
        <v>46176</v>
      </c>
      <c r="H110" s="35">
        <v>191360</v>
      </c>
      <c r="I110" s="36"/>
      <c r="J110" s="35">
        <f>SUM(Table1[[#This Row],[LC Value]:[Amd Value]])</f>
        <v>191360</v>
      </c>
      <c r="K110" s="36">
        <v>3.85</v>
      </c>
      <c r="L110" s="37">
        <v>50000</v>
      </c>
      <c r="M110" s="33" t="s">
        <v>1658</v>
      </c>
      <c r="N110" s="33" t="s">
        <v>1962</v>
      </c>
      <c r="O110" s="38" t="str">
        <f>IFERROR(_xlfn.XLOOKUP(C110, Data!$A$2:$A$236, Data!$C$2:$C$236), "")</f>
        <v>Mr. Amran Sir</v>
      </c>
    </row>
    <row r="111" spans="1:15" ht="42" customHeight="1" x14ac:dyDescent="0.35">
      <c r="A111" s="41">
        <f t="shared" si="0"/>
        <v>658</v>
      </c>
      <c r="B111" s="30" t="s">
        <v>2522</v>
      </c>
      <c r="C111" s="39" t="s">
        <v>138</v>
      </c>
      <c r="D111" s="29" t="s">
        <v>1125</v>
      </c>
      <c r="E111" s="32" t="s">
        <v>2523</v>
      </c>
      <c r="F111" s="33" t="s">
        <v>1443</v>
      </c>
      <c r="G111" s="40">
        <v>46176</v>
      </c>
      <c r="H111" s="35">
        <v>195000</v>
      </c>
      <c r="I111" s="36"/>
      <c r="J111" s="35">
        <f>SUM(Table1[[#This Row],[LC Value]:[Amd Value]])</f>
        <v>195000</v>
      </c>
      <c r="K111" s="36">
        <v>3.9</v>
      </c>
      <c r="L111" s="37">
        <v>50000</v>
      </c>
      <c r="M111" s="33" t="s">
        <v>1658</v>
      </c>
      <c r="N111" s="33" t="s">
        <v>1962</v>
      </c>
      <c r="O111" s="38" t="str">
        <f>IFERROR(_xlfn.XLOOKUP(C111, Data!$A$2:$A$236, Data!$C$2:$C$236), "")</f>
        <v>Mr. Amran Sir</v>
      </c>
    </row>
    <row r="112" spans="1:15" ht="42" customHeight="1" x14ac:dyDescent="0.35">
      <c r="A112" s="41">
        <f t="shared" si="0"/>
        <v>657</v>
      </c>
      <c r="B112" s="30" t="s">
        <v>2520</v>
      </c>
      <c r="C112" s="39" t="s">
        <v>228</v>
      </c>
      <c r="D112" s="29" t="s">
        <v>2276</v>
      </c>
      <c r="E112" s="32" t="s">
        <v>2521</v>
      </c>
      <c r="F112" s="33" t="s">
        <v>1443</v>
      </c>
      <c r="G112" s="40">
        <v>46176</v>
      </c>
      <c r="H112" s="35">
        <v>34650</v>
      </c>
      <c r="I112" s="36"/>
      <c r="J112" s="35">
        <f>SUM(Table1[[#This Row],[LC Value]:[Amd Value]])</f>
        <v>34650</v>
      </c>
      <c r="K112" s="36">
        <v>3.85</v>
      </c>
      <c r="L112" s="37">
        <v>9000</v>
      </c>
      <c r="M112" s="33" t="s">
        <v>1658</v>
      </c>
      <c r="N112" s="33" t="s">
        <v>1962</v>
      </c>
      <c r="O112" s="38" t="str">
        <f>IFERROR(_xlfn.XLOOKUP(C112, Data!$A$2:$A$236, Data!$C$2:$C$236), "")</f>
        <v>Mr. Amran Sir</v>
      </c>
    </row>
    <row r="113" spans="1:15" ht="42" customHeight="1" x14ac:dyDescent="0.35">
      <c r="A113" s="41">
        <f t="shared" si="0"/>
        <v>656</v>
      </c>
      <c r="B113" s="30" t="s">
        <v>2518</v>
      </c>
      <c r="C113" s="39" t="s">
        <v>199</v>
      </c>
      <c r="D113" s="29" t="s">
        <v>98</v>
      </c>
      <c r="E113" s="32" t="s">
        <v>2519</v>
      </c>
      <c r="F113" s="33" t="s">
        <v>1443</v>
      </c>
      <c r="G113" s="40">
        <v>46176</v>
      </c>
      <c r="H113" s="35">
        <v>47430</v>
      </c>
      <c r="I113" s="36"/>
      <c r="J113" s="35">
        <f>SUM(Table1[[#This Row],[LC Value]:[Amd Value]])</f>
        <v>47430</v>
      </c>
      <c r="K113" s="36">
        <v>3.1</v>
      </c>
      <c r="L113" s="37">
        <v>15300</v>
      </c>
      <c r="M113" s="33" t="s">
        <v>1602</v>
      </c>
      <c r="N113" s="33" t="s">
        <v>2375</v>
      </c>
      <c r="O113" s="38" t="str">
        <f>IFERROR(_xlfn.XLOOKUP(C113, Data!$A$2:$A$236, Data!$C$2:$C$236), "")</f>
        <v>MD. Sir</v>
      </c>
    </row>
    <row r="114" spans="1:15" ht="42" customHeight="1" x14ac:dyDescent="0.35">
      <c r="A114" s="41">
        <f t="shared" si="0"/>
        <v>655</v>
      </c>
      <c r="B114" s="30" t="s">
        <v>2516</v>
      </c>
      <c r="C114" s="39" t="s">
        <v>199</v>
      </c>
      <c r="D114" s="29" t="s">
        <v>98</v>
      </c>
      <c r="E114" s="32" t="s">
        <v>2517</v>
      </c>
      <c r="F114" s="33" t="s">
        <v>1443</v>
      </c>
      <c r="G114" s="40">
        <v>46176</v>
      </c>
      <c r="H114" s="35">
        <v>45917.5</v>
      </c>
      <c r="I114" s="36"/>
      <c r="J114" s="35">
        <f>SUM(Table1[[#This Row],[LC Value]:[Amd Value]])</f>
        <v>45917.5</v>
      </c>
      <c r="K114" s="36">
        <v>2.65</v>
      </c>
      <c r="L114" s="37">
        <v>15400</v>
      </c>
      <c r="M114" s="33" t="s">
        <v>1602</v>
      </c>
      <c r="N114" s="33" t="s">
        <v>2375</v>
      </c>
      <c r="O114" s="38" t="str">
        <f>IFERROR(_xlfn.XLOOKUP(C114, Data!$A$2:$A$236, Data!$C$2:$C$236), "")</f>
        <v>MD. Sir</v>
      </c>
    </row>
    <row r="115" spans="1:15" ht="42" customHeight="1" x14ac:dyDescent="0.35">
      <c r="A115" s="41">
        <f t="shared" si="0"/>
        <v>654</v>
      </c>
      <c r="B115" s="30" t="s">
        <v>2514</v>
      </c>
      <c r="C115" s="39" t="s">
        <v>199</v>
      </c>
      <c r="D115" s="29" t="s">
        <v>98</v>
      </c>
      <c r="E115" s="32" t="s">
        <v>2515</v>
      </c>
      <c r="F115" s="33" t="s">
        <v>1443</v>
      </c>
      <c r="G115" s="40">
        <v>46176</v>
      </c>
      <c r="H115" s="35">
        <v>134857.5</v>
      </c>
      <c r="I115" s="36"/>
      <c r="J115" s="35">
        <f>SUM(Table1[[#This Row],[LC Value]:[Amd Value]])</f>
        <v>134857.5</v>
      </c>
      <c r="K115" s="36">
        <v>3.15</v>
      </c>
      <c r="L115" s="37">
        <v>46450</v>
      </c>
      <c r="M115" s="33" t="s">
        <v>1602</v>
      </c>
      <c r="N115" s="33" t="s">
        <v>2375</v>
      </c>
      <c r="O115" s="38" t="str">
        <f>IFERROR(_xlfn.XLOOKUP(C115, Data!$A$2:$A$236, Data!$C$2:$C$236), "")</f>
        <v>MD. Sir</v>
      </c>
    </row>
    <row r="116" spans="1:15" ht="42" customHeight="1" x14ac:dyDescent="0.35">
      <c r="A116" s="41">
        <f t="shared" si="0"/>
        <v>653</v>
      </c>
      <c r="B116" s="30" t="s">
        <v>2512</v>
      </c>
      <c r="C116" s="39" t="s">
        <v>201</v>
      </c>
      <c r="D116" s="29" t="s">
        <v>21</v>
      </c>
      <c r="E116" s="32" t="s">
        <v>2513</v>
      </c>
      <c r="F116" s="33" t="s">
        <v>1571</v>
      </c>
      <c r="G116" s="40">
        <v>46163</v>
      </c>
      <c r="H116" s="35">
        <f>16000+16775</f>
        <v>32775</v>
      </c>
      <c r="I116" s="36"/>
      <c r="J116" s="35">
        <f>SUM(Table1[[#This Row],[LC Value]:[Amd Value]])</f>
        <v>32775</v>
      </c>
      <c r="K116" s="36">
        <v>4</v>
      </c>
      <c r="L116" s="37">
        <v>8000</v>
      </c>
      <c r="M116" s="33" t="s">
        <v>2122</v>
      </c>
      <c r="N116" s="33" t="s">
        <v>1083</v>
      </c>
      <c r="O116" s="38" t="str">
        <f>IFERROR(_xlfn.XLOOKUP(C116, Data!$A$2:$A$236, Data!$C$2:$C$236), "")</f>
        <v>Director Sir</v>
      </c>
    </row>
    <row r="117" spans="1:15" ht="42" customHeight="1" x14ac:dyDescent="0.35">
      <c r="A117" s="41">
        <f t="shared" si="0"/>
        <v>652</v>
      </c>
      <c r="B117" s="30" t="s">
        <v>2510</v>
      </c>
      <c r="C117" s="39" t="s">
        <v>185</v>
      </c>
      <c r="D117" s="29" t="s">
        <v>115</v>
      </c>
      <c r="E117" s="32" t="s">
        <v>2511</v>
      </c>
      <c r="F117" s="33" t="s">
        <v>1457</v>
      </c>
      <c r="G117" s="40">
        <v>46176</v>
      </c>
      <c r="H117" s="35">
        <v>380000</v>
      </c>
      <c r="I117" s="36"/>
      <c r="J117" s="35">
        <f>SUM(Table1[[#This Row],[LC Value]:[Amd Value]])</f>
        <v>380000</v>
      </c>
      <c r="K117" s="36">
        <v>3.8</v>
      </c>
      <c r="L117" s="37">
        <v>100000</v>
      </c>
      <c r="M117" s="33" t="s">
        <v>2503</v>
      </c>
      <c r="N117" s="33" t="s">
        <v>2502</v>
      </c>
      <c r="O117" s="38" t="str">
        <f>IFERROR(_xlfn.XLOOKUP(C117, Data!$A$2:$A$236, Data!$C$2:$C$236), "")</f>
        <v>Director Sir</v>
      </c>
    </row>
    <row r="118" spans="1:15" ht="42" customHeight="1" x14ac:dyDescent="0.35">
      <c r="A118" s="41">
        <f t="shared" si="0"/>
        <v>651</v>
      </c>
      <c r="B118" s="30" t="s">
        <v>2508</v>
      </c>
      <c r="C118" s="39" t="s">
        <v>185</v>
      </c>
      <c r="D118" s="29" t="s">
        <v>115</v>
      </c>
      <c r="E118" s="32" t="s">
        <v>2509</v>
      </c>
      <c r="F118" s="33" t="s">
        <v>1457</v>
      </c>
      <c r="G118" s="40">
        <v>46166</v>
      </c>
      <c r="H118" s="35">
        <v>380000</v>
      </c>
      <c r="I118" s="36"/>
      <c r="J118" s="35">
        <f>SUM(Table1[[#This Row],[LC Value]:[Amd Value]])</f>
        <v>380000</v>
      </c>
      <c r="K118" s="36">
        <v>3.8</v>
      </c>
      <c r="L118" s="37">
        <v>100000</v>
      </c>
      <c r="M118" s="33" t="s">
        <v>2503</v>
      </c>
      <c r="N118" s="33" t="s">
        <v>2502</v>
      </c>
      <c r="O118" s="38" t="str">
        <f>IFERROR(_xlfn.XLOOKUP(C118, Data!$A$2:$A$236, Data!$C$2:$C$236), "")</f>
        <v>Director Sir</v>
      </c>
    </row>
    <row r="119" spans="1:15" ht="42" customHeight="1" x14ac:dyDescent="0.35">
      <c r="A119" s="41">
        <f t="shared" si="0"/>
        <v>650</v>
      </c>
      <c r="B119" s="30" t="s">
        <v>2506</v>
      </c>
      <c r="C119" s="39" t="s">
        <v>185</v>
      </c>
      <c r="D119" s="29" t="s">
        <v>115</v>
      </c>
      <c r="E119" s="32" t="s">
        <v>2507</v>
      </c>
      <c r="F119" s="33" t="s">
        <v>1457</v>
      </c>
      <c r="G119" s="40">
        <v>46166</v>
      </c>
      <c r="H119" s="35">
        <v>380000</v>
      </c>
      <c r="I119" s="36"/>
      <c r="J119" s="35">
        <f>SUM(Table1[[#This Row],[LC Value]:[Amd Value]])</f>
        <v>380000</v>
      </c>
      <c r="K119" s="36">
        <v>3.8</v>
      </c>
      <c r="L119" s="37">
        <v>100000</v>
      </c>
      <c r="M119" s="33" t="s">
        <v>2503</v>
      </c>
      <c r="N119" s="33" t="s">
        <v>2502</v>
      </c>
      <c r="O119" s="38" t="str">
        <f>IFERROR(_xlfn.XLOOKUP(C119, Data!$A$2:$A$236, Data!$C$2:$C$236), "")</f>
        <v>Director Sir</v>
      </c>
    </row>
    <row r="120" spans="1:15" ht="42" customHeight="1" x14ac:dyDescent="0.35">
      <c r="A120" s="41">
        <f t="shared" si="0"/>
        <v>649</v>
      </c>
      <c r="B120" s="30" t="s">
        <v>2504</v>
      </c>
      <c r="C120" s="39" t="s">
        <v>185</v>
      </c>
      <c r="D120" s="29" t="s">
        <v>115</v>
      </c>
      <c r="E120" s="32" t="s">
        <v>2505</v>
      </c>
      <c r="F120" s="33" t="s">
        <v>1457</v>
      </c>
      <c r="G120" s="40">
        <v>46166</v>
      </c>
      <c r="H120" s="35">
        <v>380000</v>
      </c>
      <c r="I120" s="36"/>
      <c r="J120" s="35">
        <f>SUM(Table1[[#This Row],[LC Value]:[Amd Value]])</f>
        <v>380000</v>
      </c>
      <c r="K120" s="36">
        <v>3.8</v>
      </c>
      <c r="L120" s="37">
        <v>100000</v>
      </c>
      <c r="M120" s="33" t="s">
        <v>2503</v>
      </c>
      <c r="N120" s="33" t="s">
        <v>2502</v>
      </c>
      <c r="O120" s="38" t="str">
        <f>IFERROR(_xlfn.XLOOKUP(C120, Data!$A$2:$A$236, Data!$C$2:$C$236), "")</f>
        <v>Director Sir</v>
      </c>
    </row>
    <row r="121" spans="1:15" ht="42" customHeight="1" x14ac:dyDescent="0.35">
      <c r="A121" s="41">
        <f t="shared" si="0"/>
        <v>648</v>
      </c>
      <c r="B121" s="30" t="s">
        <v>2500</v>
      </c>
      <c r="C121" s="39" t="s">
        <v>185</v>
      </c>
      <c r="D121" s="29" t="s">
        <v>115</v>
      </c>
      <c r="E121" s="32" t="s">
        <v>2501</v>
      </c>
      <c r="F121" s="33" t="s">
        <v>1457</v>
      </c>
      <c r="G121" s="40">
        <v>46166</v>
      </c>
      <c r="H121" s="35">
        <v>380000</v>
      </c>
      <c r="I121" s="36"/>
      <c r="J121" s="35">
        <f>SUM(Table1[[#This Row],[LC Value]:[Amd Value]])</f>
        <v>380000</v>
      </c>
      <c r="K121" s="36">
        <v>3.8</v>
      </c>
      <c r="L121" s="37">
        <v>100000</v>
      </c>
      <c r="M121" s="33" t="s">
        <v>2503</v>
      </c>
      <c r="N121" s="33" t="s">
        <v>2502</v>
      </c>
      <c r="O121" s="38" t="str">
        <f>IFERROR(_xlfn.XLOOKUP(C121, Data!$A$2:$A$236, Data!$C$2:$C$236), "")</f>
        <v>Director Sir</v>
      </c>
    </row>
    <row r="122" spans="1:15" ht="42" customHeight="1" x14ac:dyDescent="0.35">
      <c r="A122" s="41">
        <f t="shared" si="0"/>
        <v>647</v>
      </c>
      <c r="B122" s="30" t="s">
        <v>2498</v>
      </c>
      <c r="C122" s="39" t="s">
        <v>200</v>
      </c>
      <c r="D122" s="29" t="s">
        <v>98</v>
      </c>
      <c r="E122" s="32" t="s">
        <v>2499</v>
      </c>
      <c r="F122" s="33" t="s">
        <v>1457</v>
      </c>
      <c r="G122" s="40">
        <v>46166</v>
      </c>
      <c r="H122" s="35">
        <v>6630</v>
      </c>
      <c r="I122" s="36"/>
      <c r="J122" s="35">
        <f>SUM(Table1[[#This Row],[LC Value]:[Amd Value]])</f>
        <v>6630</v>
      </c>
      <c r="K122" s="36">
        <v>3.4</v>
      </c>
      <c r="L122" s="37">
        <v>1950</v>
      </c>
      <c r="M122" s="33" t="s">
        <v>2220</v>
      </c>
      <c r="N122" s="33" t="s">
        <v>2493</v>
      </c>
      <c r="O122" s="38" t="str">
        <f>IFERROR(_xlfn.XLOOKUP(C122, Data!$A$2:$A$236, Data!$C$2:$C$236), "")</f>
        <v>MD. Sir</v>
      </c>
    </row>
    <row r="123" spans="1:15" ht="42" customHeight="1" x14ac:dyDescent="0.35">
      <c r="A123" s="41">
        <f t="shared" si="0"/>
        <v>646</v>
      </c>
      <c r="B123" s="30" t="s">
        <v>2496</v>
      </c>
      <c r="C123" s="39" t="s">
        <v>200</v>
      </c>
      <c r="D123" s="29" t="s">
        <v>98</v>
      </c>
      <c r="E123" s="32" t="s">
        <v>2497</v>
      </c>
      <c r="F123" s="33" t="s">
        <v>1457</v>
      </c>
      <c r="G123" s="40">
        <v>46166</v>
      </c>
      <c r="H123" s="35">
        <v>19000</v>
      </c>
      <c r="I123" s="36"/>
      <c r="J123" s="35">
        <f>SUM(Table1[[#This Row],[LC Value]:[Amd Value]])</f>
        <v>19000</v>
      </c>
      <c r="K123" s="36">
        <v>3.05</v>
      </c>
      <c r="L123" s="37">
        <v>5000</v>
      </c>
      <c r="M123" s="33" t="s">
        <v>2220</v>
      </c>
      <c r="N123" s="33" t="s">
        <v>2493</v>
      </c>
      <c r="O123" s="38" t="str">
        <f>IFERROR(_xlfn.XLOOKUP(C123, Data!$A$2:$A$236, Data!$C$2:$C$236), "")</f>
        <v>MD. Sir</v>
      </c>
    </row>
    <row r="124" spans="1:15" ht="42" customHeight="1" x14ac:dyDescent="0.35">
      <c r="A124" s="41">
        <f t="shared" si="0"/>
        <v>645</v>
      </c>
      <c r="B124" s="30" t="s">
        <v>2494</v>
      </c>
      <c r="C124" s="39" t="s">
        <v>200</v>
      </c>
      <c r="D124" s="29" t="s">
        <v>98</v>
      </c>
      <c r="E124" s="32" t="s">
        <v>2495</v>
      </c>
      <c r="F124" s="33" t="s">
        <v>1457</v>
      </c>
      <c r="G124" s="40">
        <v>46163</v>
      </c>
      <c r="H124" s="35">
        <v>41480</v>
      </c>
      <c r="I124" s="36"/>
      <c r="J124" s="35">
        <f>SUM(Table1[[#This Row],[LC Value]:[Amd Value]])</f>
        <v>41480</v>
      </c>
      <c r="K124" s="36">
        <v>3.05</v>
      </c>
      <c r="L124" s="37">
        <v>13600</v>
      </c>
      <c r="M124" s="33" t="s">
        <v>2220</v>
      </c>
      <c r="N124" s="33" t="s">
        <v>2493</v>
      </c>
      <c r="O124" s="38" t="str">
        <f>IFERROR(_xlfn.XLOOKUP(C124, Data!$A$2:$A$236, Data!$C$2:$C$236), "")</f>
        <v>MD. Sir</v>
      </c>
    </row>
    <row r="125" spans="1:15" ht="42" customHeight="1" x14ac:dyDescent="0.35">
      <c r="A125" s="41">
        <f t="shared" si="0"/>
        <v>644</v>
      </c>
      <c r="B125" s="30" t="s">
        <v>2491</v>
      </c>
      <c r="C125" s="39" t="s">
        <v>199</v>
      </c>
      <c r="D125" s="29" t="s">
        <v>98</v>
      </c>
      <c r="E125" s="32" t="s">
        <v>2492</v>
      </c>
      <c r="F125" s="33" t="s">
        <v>1457</v>
      </c>
      <c r="G125" s="40">
        <v>46166</v>
      </c>
      <c r="H125" s="35">
        <v>7100</v>
      </c>
      <c r="I125" s="36"/>
      <c r="J125" s="35">
        <f>SUM(Table1[[#This Row],[LC Value]:[Amd Value]])</f>
        <v>7100</v>
      </c>
      <c r="K125" s="36">
        <v>2.85</v>
      </c>
      <c r="L125" s="37">
        <v>2500</v>
      </c>
      <c r="M125" s="33" t="s">
        <v>2220</v>
      </c>
      <c r="N125" s="33" t="s">
        <v>2493</v>
      </c>
      <c r="O125" s="38" t="str">
        <f>IFERROR(_xlfn.XLOOKUP(C125, Data!$A$2:$A$236, Data!$C$2:$C$236), "")</f>
        <v>MD. Sir</v>
      </c>
    </row>
    <row r="126" spans="1:15" ht="42" customHeight="1" x14ac:dyDescent="0.35">
      <c r="A126" s="41">
        <f t="shared" si="0"/>
        <v>643</v>
      </c>
      <c r="B126" s="30" t="s">
        <v>2488</v>
      </c>
      <c r="C126" s="39" t="s">
        <v>35</v>
      </c>
      <c r="D126" s="29" t="s">
        <v>135</v>
      </c>
      <c r="E126" s="32" t="s">
        <v>2489</v>
      </c>
      <c r="F126" s="33" t="s">
        <v>1715</v>
      </c>
      <c r="G126" s="40">
        <v>46166</v>
      </c>
      <c r="H126" s="35">
        <v>20240</v>
      </c>
      <c r="I126" s="36"/>
      <c r="J126" s="35">
        <f>SUM(Table1[[#This Row],[LC Value]:[Amd Value]])</f>
        <v>20240</v>
      </c>
      <c r="K126" s="36">
        <v>3.55</v>
      </c>
      <c r="L126" s="37">
        <v>4350</v>
      </c>
      <c r="M126" s="33" t="s">
        <v>2336</v>
      </c>
      <c r="N126" s="33" t="s">
        <v>2490</v>
      </c>
      <c r="O126" s="38" t="str">
        <f>IFERROR(_xlfn.XLOOKUP(C126, Data!$A$2:$A$236, Data!$C$2:$C$236), "")</f>
        <v>Mr. Sohel Sir</v>
      </c>
    </row>
    <row r="127" spans="1:15" ht="42" customHeight="1" x14ac:dyDescent="0.35">
      <c r="A127" s="41">
        <f t="shared" si="0"/>
        <v>642</v>
      </c>
      <c r="B127" s="30" t="s">
        <v>2485</v>
      </c>
      <c r="C127" s="39" t="s">
        <v>245</v>
      </c>
      <c r="D127" s="29" t="s">
        <v>98</v>
      </c>
      <c r="E127" s="32" t="s">
        <v>2486</v>
      </c>
      <c r="F127" s="33" t="s">
        <v>1715</v>
      </c>
      <c r="G127" s="40">
        <v>46166</v>
      </c>
      <c r="H127" s="35">
        <v>7355</v>
      </c>
      <c r="I127" s="36"/>
      <c r="J127" s="35">
        <f>SUM(Table1[[#This Row],[LC Value]:[Amd Value]])</f>
        <v>7355</v>
      </c>
      <c r="K127" s="36">
        <v>3.55</v>
      </c>
      <c r="L127" s="37">
        <v>2000</v>
      </c>
      <c r="M127" s="33" t="s">
        <v>1082</v>
      </c>
      <c r="N127" s="33" t="s">
        <v>1083</v>
      </c>
      <c r="O127" s="38" t="str">
        <f>IFERROR(_xlfn.XLOOKUP(C127, Data!$A$2:$A$236, Data!$C$2:$C$236), "")</f>
        <v>Mr. Reza Sir</v>
      </c>
    </row>
    <row r="128" spans="1:15" ht="42" customHeight="1" x14ac:dyDescent="0.35">
      <c r="A128" s="41">
        <f t="shared" si="0"/>
        <v>641</v>
      </c>
      <c r="B128" s="30" t="s">
        <v>2483</v>
      </c>
      <c r="C128" s="39" t="s">
        <v>174</v>
      </c>
      <c r="D128" s="29" t="s">
        <v>2691</v>
      </c>
      <c r="E128" s="32" t="s">
        <v>2484</v>
      </c>
      <c r="F128" s="33" t="s">
        <v>1742</v>
      </c>
      <c r="G128" s="40">
        <v>46166</v>
      </c>
      <c r="H128" s="35">
        <v>29420</v>
      </c>
      <c r="I128" s="36"/>
      <c r="J128" s="35">
        <f>SUM(Table1[[#This Row],[LC Value]:[Amd Value]])</f>
        <v>29420</v>
      </c>
      <c r="K128" s="36">
        <v>4.5999999999999996</v>
      </c>
      <c r="L128" s="37">
        <v>7100</v>
      </c>
      <c r="M128" s="33" t="s">
        <v>1082</v>
      </c>
      <c r="N128" s="33" t="s">
        <v>1083</v>
      </c>
      <c r="O128" s="38" t="str">
        <f>IFERROR(_xlfn.XLOOKUP(C128, Data!$A$2:$A$236, Data!$C$2:$C$236), "")</f>
        <v>Mr. Reza Sir</v>
      </c>
    </row>
    <row r="129" spans="1:15" ht="42" customHeight="1" x14ac:dyDescent="0.35">
      <c r="A129" s="41">
        <f t="shared" si="0"/>
        <v>640</v>
      </c>
      <c r="B129" s="30" t="s">
        <v>2475</v>
      </c>
      <c r="C129" s="39" t="s">
        <v>1562</v>
      </c>
      <c r="D129" s="29" t="s">
        <v>32</v>
      </c>
      <c r="E129" s="32" t="s">
        <v>2476</v>
      </c>
      <c r="F129" s="33" t="s">
        <v>1715</v>
      </c>
      <c r="G129" s="40">
        <v>46162</v>
      </c>
      <c r="H129" s="35">
        <v>60655</v>
      </c>
      <c r="I129" s="36"/>
      <c r="J129" s="35">
        <f>SUM(Table1[[#This Row],[LC Value]:[Amd Value]])</f>
        <v>60655</v>
      </c>
      <c r="K129" s="36">
        <v>4.5999999999999996</v>
      </c>
      <c r="L129" s="37">
        <v>13050</v>
      </c>
      <c r="M129" s="33" t="s">
        <v>869</v>
      </c>
      <c r="N129" s="33" t="s">
        <v>1605</v>
      </c>
      <c r="O129" s="38" t="str">
        <f>IFERROR(_xlfn.XLOOKUP(C129, Data!$A$2:$A$236, Data!$C$2:$C$236), "")</f>
        <v>Director Sir</v>
      </c>
    </row>
    <row r="130" spans="1:15" ht="42" customHeight="1" x14ac:dyDescent="0.35">
      <c r="A130" s="41">
        <f t="shared" si="0"/>
        <v>639</v>
      </c>
      <c r="B130" s="30" t="s">
        <v>2473</v>
      </c>
      <c r="C130" s="39" t="s">
        <v>200</v>
      </c>
      <c r="D130" s="29" t="s">
        <v>98</v>
      </c>
      <c r="E130" s="32" t="s">
        <v>2474</v>
      </c>
      <c r="F130" s="33" t="s">
        <v>1715</v>
      </c>
      <c r="G130" s="40">
        <v>46176</v>
      </c>
      <c r="H130" s="35">
        <v>13200</v>
      </c>
      <c r="I130" s="36"/>
      <c r="J130" s="35">
        <f>SUM(Table1[[#This Row],[LC Value]:[Amd Value]])</f>
        <v>13200</v>
      </c>
      <c r="K130" s="36">
        <v>4.9000000000000004</v>
      </c>
      <c r="L130" s="37">
        <v>1500</v>
      </c>
      <c r="M130" s="33" t="s">
        <v>869</v>
      </c>
      <c r="N130" s="33" t="s">
        <v>1605</v>
      </c>
      <c r="O130" s="38" t="str">
        <f>IFERROR(_xlfn.XLOOKUP(C130, Data!$A$2:$A$236, Data!$C$2:$C$236), "")</f>
        <v>MD. Sir</v>
      </c>
    </row>
    <row r="131" spans="1:15" ht="42" customHeight="1" x14ac:dyDescent="0.35">
      <c r="A131" s="41">
        <f t="shared" si="0"/>
        <v>638</v>
      </c>
      <c r="B131" s="30" t="s">
        <v>2471</v>
      </c>
      <c r="C131" s="39" t="s">
        <v>200</v>
      </c>
      <c r="D131" s="29" t="s">
        <v>32</v>
      </c>
      <c r="E131" s="32" t="s">
        <v>2472</v>
      </c>
      <c r="F131" s="33" t="s">
        <v>1715</v>
      </c>
      <c r="G131" s="40">
        <v>46176</v>
      </c>
      <c r="H131" s="35">
        <v>14945</v>
      </c>
      <c r="I131" s="36"/>
      <c r="J131" s="35">
        <f>SUM(Table1[[#This Row],[LC Value]:[Amd Value]])</f>
        <v>14945</v>
      </c>
      <c r="K131" s="36">
        <v>4.9000000000000004</v>
      </c>
      <c r="L131" s="37">
        <v>3050</v>
      </c>
      <c r="M131" s="33" t="s">
        <v>869</v>
      </c>
      <c r="N131" s="33" t="s">
        <v>1605</v>
      </c>
      <c r="O131" s="38" t="str">
        <f>IFERROR(_xlfn.XLOOKUP(C131, Data!$A$2:$A$236, Data!$C$2:$C$236), "")</f>
        <v>MD. Sir</v>
      </c>
    </row>
    <row r="132" spans="1:15" ht="42" customHeight="1" x14ac:dyDescent="0.35">
      <c r="A132" s="41">
        <f t="shared" si="0"/>
        <v>637</v>
      </c>
      <c r="B132" s="30" t="s">
        <v>2469</v>
      </c>
      <c r="C132" s="39" t="s">
        <v>200</v>
      </c>
      <c r="D132" s="29" t="s">
        <v>98</v>
      </c>
      <c r="E132" s="32" t="s">
        <v>2470</v>
      </c>
      <c r="F132" s="33" t="s">
        <v>1715</v>
      </c>
      <c r="G132" s="40">
        <v>46166</v>
      </c>
      <c r="H132" s="35">
        <v>99850</v>
      </c>
      <c r="I132" s="36"/>
      <c r="J132" s="35">
        <f>SUM(Table1[[#This Row],[LC Value]:[Amd Value]])</f>
        <v>99850</v>
      </c>
      <c r="K132" s="36">
        <v>3.5</v>
      </c>
      <c r="L132" s="37">
        <v>31500</v>
      </c>
      <c r="M132" s="33" t="s">
        <v>869</v>
      </c>
      <c r="N132" s="33" t="s">
        <v>1605</v>
      </c>
      <c r="O132" s="38" t="str">
        <f>IFERROR(_xlfn.XLOOKUP(C132, Data!$A$2:$A$236, Data!$C$2:$C$236), "")</f>
        <v>MD. Sir</v>
      </c>
    </row>
    <row r="133" spans="1:15" ht="42" customHeight="1" x14ac:dyDescent="0.35">
      <c r="A133" s="41">
        <f t="shared" si="0"/>
        <v>636</v>
      </c>
      <c r="B133" s="30" t="s">
        <v>2467</v>
      </c>
      <c r="C133" s="39" t="s">
        <v>75</v>
      </c>
      <c r="D133" s="29" t="s">
        <v>2464</v>
      </c>
      <c r="E133" s="32" t="s">
        <v>2468</v>
      </c>
      <c r="F133" s="33" t="s">
        <v>1715</v>
      </c>
      <c r="G133" s="40">
        <v>46166</v>
      </c>
      <c r="H133" s="35">
        <v>6300</v>
      </c>
      <c r="I133" s="36"/>
      <c r="J133" s="35">
        <f>SUM(Table1[[#This Row],[LC Value]:[Amd Value]])</f>
        <v>6300</v>
      </c>
      <c r="K133" s="36">
        <v>3.5</v>
      </c>
      <c r="L133" s="37">
        <v>1800</v>
      </c>
      <c r="M133" s="33" t="s">
        <v>2463</v>
      </c>
      <c r="N133" s="33" t="s">
        <v>2462</v>
      </c>
      <c r="O133" s="38" t="str">
        <f>IFERROR(_xlfn.XLOOKUP(C133, Data!$A$2:$A$236, Data!$C$2:$C$236), "")</f>
        <v>Mr. Lipu Sir</v>
      </c>
    </row>
    <row r="134" spans="1:15" ht="42" customHeight="1" x14ac:dyDescent="0.35">
      <c r="A134" s="41">
        <f t="shared" si="0"/>
        <v>635</v>
      </c>
      <c r="B134" s="30" t="s">
        <v>2460</v>
      </c>
      <c r="C134" s="39" t="s">
        <v>64</v>
      </c>
      <c r="D134" s="29" t="s">
        <v>43</v>
      </c>
      <c r="E134" s="32" t="s">
        <v>2461</v>
      </c>
      <c r="F134" s="33" t="s">
        <v>2445</v>
      </c>
      <c r="G134" s="40">
        <v>46176</v>
      </c>
      <c r="H134" s="35">
        <v>20470</v>
      </c>
      <c r="I134" s="36"/>
      <c r="J134" s="35">
        <f>SUM(Table1[[#This Row],[LC Value]:[Amd Value]])</f>
        <v>20470</v>
      </c>
      <c r="K134" s="36">
        <v>4.1500000000000004</v>
      </c>
      <c r="L134" s="37">
        <v>5400</v>
      </c>
      <c r="M134" s="33" t="s">
        <v>2463</v>
      </c>
      <c r="N134" s="33" t="s">
        <v>2462</v>
      </c>
      <c r="O134" s="38" t="str">
        <f>IFERROR(_xlfn.XLOOKUP(C134, Data!$A$2:$A$236, Data!$C$2:$C$236), "")</f>
        <v>Mr. Reza Sir</v>
      </c>
    </row>
    <row r="135" spans="1:15" ht="42" customHeight="1" x14ac:dyDescent="0.35">
      <c r="A135" s="41">
        <f t="shared" si="0"/>
        <v>634</v>
      </c>
      <c r="B135" s="30" t="s">
        <v>2458</v>
      </c>
      <c r="C135" s="39" t="s">
        <v>1562</v>
      </c>
      <c r="D135" s="29" t="s">
        <v>81</v>
      </c>
      <c r="E135" s="32" t="s">
        <v>2459</v>
      </c>
      <c r="F135" s="33" t="s">
        <v>2445</v>
      </c>
      <c r="G135" s="40">
        <v>46161</v>
      </c>
      <c r="H135" s="35">
        <v>23500</v>
      </c>
      <c r="I135" s="36">
        <v>8875</v>
      </c>
      <c r="J135" s="35">
        <f>SUM(Table1[[#This Row],[LC Value]:[Amd Value]])</f>
        <v>32375</v>
      </c>
      <c r="K135" s="36">
        <v>4.7</v>
      </c>
      <c r="L135" s="37">
        <v>5000</v>
      </c>
      <c r="M135" s="33" t="s">
        <v>868</v>
      </c>
      <c r="N135" s="33" t="s">
        <v>1560</v>
      </c>
      <c r="O135" s="38" t="str">
        <f>IFERROR(_xlfn.XLOOKUP(C135, Data!$A$2:$A$236, Data!$C$2:$C$236), "")</f>
        <v>Director Sir</v>
      </c>
    </row>
    <row r="136" spans="1:15" ht="42" customHeight="1" x14ac:dyDescent="0.35">
      <c r="A136" s="41">
        <f t="shared" si="0"/>
        <v>633</v>
      </c>
      <c r="B136" s="30" t="s">
        <v>2456</v>
      </c>
      <c r="C136" s="39" t="s">
        <v>201</v>
      </c>
      <c r="D136" s="29" t="s">
        <v>95</v>
      </c>
      <c r="E136" s="32" t="s">
        <v>2457</v>
      </c>
      <c r="F136" s="33" t="s">
        <v>2445</v>
      </c>
      <c r="G136" s="40">
        <v>46176</v>
      </c>
      <c r="H136" s="35">
        <v>52560</v>
      </c>
      <c r="I136" s="36"/>
      <c r="J136" s="35">
        <f>SUM(Table1[[#This Row],[LC Value]:[Amd Value]])</f>
        <v>52560</v>
      </c>
      <c r="K136" s="36">
        <v>3.6</v>
      </c>
      <c r="L136" s="37">
        <v>14600</v>
      </c>
      <c r="M136" s="33" t="s">
        <v>868</v>
      </c>
      <c r="N136" s="33" t="s">
        <v>1082</v>
      </c>
      <c r="O136" s="38" t="str">
        <f>IFERROR(_xlfn.XLOOKUP(C136, Data!$A$2:$A$236, Data!$C$2:$C$236), "")</f>
        <v>Director Sir</v>
      </c>
    </row>
    <row r="137" spans="1:15" ht="42" customHeight="1" x14ac:dyDescent="0.35">
      <c r="A137" s="41">
        <f t="shared" si="0"/>
        <v>632</v>
      </c>
      <c r="B137" s="30" t="s">
        <v>2454</v>
      </c>
      <c r="C137" s="39" t="s">
        <v>178</v>
      </c>
      <c r="D137" s="29" t="s">
        <v>2691</v>
      </c>
      <c r="E137" s="32" t="s">
        <v>2455</v>
      </c>
      <c r="F137" s="33" t="s">
        <v>2445</v>
      </c>
      <c r="G137" s="40">
        <v>46161</v>
      </c>
      <c r="H137" s="35">
        <v>10390</v>
      </c>
      <c r="I137" s="36"/>
      <c r="J137" s="35">
        <f>SUM(Table1[[#This Row],[LC Value]:[Amd Value]])</f>
        <v>10390</v>
      </c>
      <c r="K137" s="36">
        <v>3.4</v>
      </c>
      <c r="L137" s="37">
        <v>2700</v>
      </c>
      <c r="M137" s="33" t="s">
        <v>868</v>
      </c>
      <c r="N137" s="33" t="s">
        <v>1082</v>
      </c>
      <c r="O137" s="38" t="str">
        <f>IFERROR(_xlfn.XLOOKUP(C137, Data!$A$2:$A$236, Data!$C$2:$C$236), "")</f>
        <v>Mr. Reza Sir</v>
      </c>
    </row>
    <row r="138" spans="1:15" ht="42" customHeight="1" x14ac:dyDescent="0.35">
      <c r="A138" s="41">
        <f t="shared" si="0"/>
        <v>631</v>
      </c>
      <c r="B138" s="30" t="s">
        <v>2452</v>
      </c>
      <c r="C138" s="39" t="s">
        <v>199</v>
      </c>
      <c r="D138" s="29" t="s">
        <v>32</v>
      </c>
      <c r="E138" s="32" t="s">
        <v>2453</v>
      </c>
      <c r="F138" s="33" t="s">
        <v>2445</v>
      </c>
      <c r="G138" s="40">
        <v>46165</v>
      </c>
      <c r="H138" s="35">
        <v>186165</v>
      </c>
      <c r="I138" s="36"/>
      <c r="J138" s="35">
        <f>SUM(Table1[[#This Row],[LC Value]:[Amd Value]])</f>
        <v>186165</v>
      </c>
      <c r="K138" s="36">
        <v>2.7</v>
      </c>
      <c r="L138" s="37">
        <v>5950</v>
      </c>
      <c r="M138" s="33">
        <v>68950</v>
      </c>
      <c r="N138" s="33" t="s">
        <v>1805</v>
      </c>
      <c r="O138" s="38" t="str">
        <f>IFERROR(_xlfn.XLOOKUP(C138, Data!$A$2:$A$236, Data!$C$2:$C$236), "")</f>
        <v>MD. Sir</v>
      </c>
    </row>
    <row r="139" spans="1:15" ht="42" customHeight="1" x14ac:dyDescent="0.35">
      <c r="A139" s="41">
        <f t="shared" si="0"/>
        <v>630</v>
      </c>
      <c r="B139" s="30" t="s">
        <v>2450</v>
      </c>
      <c r="C139" s="39" t="s">
        <v>200</v>
      </c>
      <c r="D139" s="29" t="s">
        <v>135</v>
      </c>
      <c r="E139" s="32" t="s">
        <v>2451</v>
      </c>
      <c r="F139" s="33" t="s">
        <v>2445</v>
      </c>
      <c r="G139" s="40">
        <v>46163</v>
      </c>
      <c r="H139" s="35">
        <v>25747.5</v>
      </c>
      <c r="I139" s="36"/>
      <c r="J139" s="35">
        <f>SUM(Table1[[#This Row],[LC Value]:[Amd Value]])</f>
        <v>25747.5</v>
      </c>
      <c r="K139" s="36">
        <v>4.3</v>
      </c>
      <c r="L139" s="37">
        <v>5950</v>
      </c>
      <c r="M139" s="33" t="s">
        <v>1806</v>
      </c>
      <c r="N139" s="33" t="s">
        <v>1805</v>
      </c>
      <c r="O139" s="38" t="str">
        <f>IFERROR(_xlfn.XLOOKUP(C139, Data!$A$2:$A$236, Data!$C$2:$C$236), "")</f>
        <v>MD. Sir</v>
      </c>
    </row>
    <row r="140" spans="1:15" ht="42" customHeight="1" x14ac:dyDescent="0.35">
      <c r="A140" s="41">
        <f t="shared" si="0"/>
        <v>629</v>
      </c>
      <c r="B140" s="30" t="s">
        <v>2448</v>
      </c>
      <c r="C140" s="39" t="s">
        <v>180</v>
      </c>
      <c r="D140" s="29" t="s">
        <v>181</v>
      </c>
      <c r="E140" s="32" t="s">
        <v>2449</v>
      </c>
      <c r="F140" s="33" t="s">
        <v>2445</v>
      </c>
      <c r="G140" s="40">
        <v>46166</v>
      </c>
      <c r="H140" s="35">
        <v>18000</v>
      </c>
      <c r="I140" s="36"/>
      <c r="J140" s="35">
        <f>SUM(Table1[[#This Row],[LC Value]:[Amd Value]])</f>
        <v>18000</v>
      </c>
      <c r="K140" s="36">
        <v>3.75</v>
      </c>
      <c r="L140" s="37">
        <v>4800</v>
      </c>
      <c r="M140" s="33" t="s">
        <v>1806</v>
      </c>
      <c r="N140" s="33" t="s">
        <v>1805</v>
      </c>
      <c r="O140" s="38" t="str">
        <f>IFERROR(_xlfn.XLOOKUP(C140, Data!$A$2:$A$236, Data!$C$2:$C$236), "")</f>
        <v>Mr. Lipu Sir</v>
      </c>
    </row>
    <row r="141" spans="1:15" ht="42" customHeight="1" x14ac:dyDescent="0.35">
      <c r="A141" s="41">
        <f t="shared" ref="A141:A395" si="1">A142+1</f>
        <v>628</v>
      </c>
      <c r="B141" s="30" t="s">
        <v>2446</v>
      </c>
      <c r="C141" s="39" t="s">
        <v>199</v>
      </c>
      <c r="D141" s="29" t="s">
        <v>98</v>
      </c>
      <c r="E141" s="32" t="s">
        <v>2447</v>
      </c>
      <c r="F141" s="33" t="s">
        <v>2445</v>
      </c>
      <c r="G141" s="40">
        <v>46176</v>
      </c>
      <c r="H141" s="35">
        <v>64320</v>
      </c>
      <c r="I141" s="36"/>
      <c r="J141" s="35">
        <f>SUM(Table1[[#This Row],[LC Value]:[Amd Value]])</f>
        <v>64320</v>
      </c>
      <c r="K141" s="36">
        <v>3.2</v>
      </c>
      <c r="L141" s="37">
        <v>20100</v>
      </c>
      <c r="M141" s="33" t="s">
        <v>1560</v>
      </c>
      <c r="N141" s="33" t="s">
        <v>1996</v>
      </c>
      <c r="O141" s="38" t="str">
        <f>IFERROR(_xlfn.XLOOKUP(C141, Data!$A$2:$A$236, Data!$C$2:$C$236), "")</f>
        <v>MD. Sir</v>
      </c>
    </row>
    <row r="142" spans="1:15" ht="42" customHeight="1" x14ac:dyDescent="0.35">
      <c r="A142" s="41">
        <f t="shared" si="1"/>
        <v>627</v>
      </c>
      <c r="B142" s="30" t="s">
        <v>2443</v>
      </c>
      <c r="C142" s="39" t="s">
        <v>201</v>
      </c>
      <c r="D142" s="29" t="s">
        <v>21</v>
      </c>
      <c r="E142" s="32" t="s">
        <v>2444</v>
      </c>
      <c r="F142" s="33" t="s">
        <v>2445</v>
      </c>
      <c r="G142" s="40">
        <v>46166</v>
      </c>
      <c r="H142" s="35">
        <v>180000</v>
      </c>
      <c r="I142" s="36"/>
      <c r="J142" s="35">
        <f>SUM(Table1[[#This Row],[LC Value]:[Amd Value]])</f>
        <v>180000</v>
      </c>
      <c r="K142" s="36">
        <v>3.6</v>
      </c>
      <c r="L142" s="37">
        <v>50000</v>
      </c>
      <c r="M142" s="33" t="s">
        <v>1962</v>
      </c>
      <c r="N142" s="33" t="s">
        <v>2333</v>
      </c>
      <c r="O142" s="38" t="str">
        <f>IFERROR(_xlfn.XLOOKUP(C142, Data!$A$2:$A$236, Data!$C$2:$C$236), "")</f>
        <v>Director Sir</v>
      </c>
    </row>
    <row r="143" spans="1:15" ht="42" customHeight="1" x14ac:dyDescent="0.35">
      <c r="A143" s="41">
        <f t="shared" si="1"/>
        <v>626</v>
      </c>
      <c r="B143" s="30" t="s">
        <v>2441</v>
      </c>
      <c r="C143" s="39" t="s">
        <v>201</v>
      </c>
      <c r="D143" s="29" t="s">
        <v>21</v>
      </c>
      <c r="E143" s="32" t="s">
        <v>2442</v>
      </c>
      <c r="F143" s="33" t="s">
        <v>1742</v>
      </c>
      <c r="G143" s="40">
        <v>46166</v>
      </c>
      <c r="H143" s="35">
        <v>195250</v>
      </c>
      <c r="I143" s="36"/>
      <c r="J143" s="35">
        <f>SUM(Table1[[#This Row],[LC Value]:[Amd Value]])</f>
        <v>195250</v>
      </c>
      <c r="K143" s="36">
        <v>3.55</v>
      </c>
      <c r="L143" s="37">
        <v>55000</v>
      </c>
      <c r="M143" s="33" t="s">
        <v>1962</v>
      </c>
      <c r="N143" s="33" t="s">
        <v>2333</v>
      </c>
      <c r="O143" s="38" t="str">
        <f>IFERROR(_xlfn.XLOOKUP(C143, Data!$A$2:$A$236, Data!$C$2:$C$236), "")</f>
        <v>Director Sir</v>
      </c>
    </row>
    <row r="144" spans="1:15" ht="42" customHeight="1" x14ac:dyDescent="0.35">
      <c r="A144" s="41">
        <f t="shared" si="1"/>
        <v>625</v>
      </c>
      <c r="B144" s="30" t="s">
        <v>2439</v>
      </c>
      <c r="C144" s="39" t="s">
        <v>46</v>
      </c>
      <c r="D144" s="29" t="s">
        <v>47</v>
      </c>
      <c r="E144" s="32" t="s">
        <v>2440</v>
      </c>
      <c r="F144" s="33" t="s">
        <v>1742</v>
      </c>
      <c r="G144" s="40">
        <v>46165</v>
      </c>
      <c r="H144" s="35">
        <v>12600</v>
      </c>
      <c r="I144" s="36"/>
      <c r="J144" s="35">
        <f>SUM(Table1[[#This Row],[LC Value]:[Amd Value]])</f>
        <v>12600</v>
      </c>
      <c r="K144" s="36">
        <v>3.5</v>
      </c>
      <c r="L144" s="37">
        <v>3600</v>
      </c>
      <c r="M144" s="33" t="s">
        <v>868</v>
      </c>
      <c r="N144" s="33" t="s">
        <v>1082</v>
      </c>
      <c r="O144" s="38" t="str">
        <f>IFERROR(_xlfn.XLOOKUP(C144, Data!$A$2:$A$236, Data!$C$2:$C$236), "")</f>
        <v>Mr. Wadud Sir</v>
      </c>
    </row>
    <row r="145" spans="1:15" ht="42" customHeight="1" x14ac:dyDescent="0.35">
      <c r="A145" s="41">
        <f t="shared" si="1"/>
        <v>624</v>
      </c>
      <c r="B145" s="30" t="s">
        <v>2437</v>
      </c>
      <c r="C145" s="39" t="s">
        <v>199</v>
      </c>
      <c r="D145" s="29" t="s">
        <v>32</v>
      </c>
      <c r="E145" s="32" t="s">
        <v>2438</v>
      </c>
      <c r="F145" s="33" t="s">
        <v>1742</v>
      </c>
      <c r="G145" s="40">
        <v>46166</v>
      </c>
      <c r="H145" s="35">
        <v>79800</v>
      </c>
      <c r="I145" s="36"/>
      <c r="J145" s="35">
        <f>SUM(Table1[[#This Row],[LC Value]:[Amd Value]])</f>
        <v>79800</v>
      </c>
      <c r="K145" s="36">
        <v>3.05</v>
      </c>
      <c r="L145" s="37">
        <v>26600</v>
      </c>
      <c r="M145" s="33" t="s">
        <v>868</v>
      </c>
      <c r="N145" s="33" t="s">
        <v>1082</v>
      </c>
      <c r="O145" s="38" t="str">
        <f>IFERROR(_xlfn.XLOOKUP(C145, Data!$A$2:$A$236, Data!$C$2:$C$236), "")</f>
        <v>MD. Sir</v>
      </c>
    </row>
    <row r="146" spans="1:15" ht="42" customHeight="1" x14ac:dyDescent="0.35">
      <c r="A146" s="41">
        <f t="shared" si="1"/>
        <v>623</v>
      </c>
      <c r="B146" s="30" t="s">
        <v>2435</v>
      </c>
      <c r="C146" s="39" t="s">
        <v>199</v>
      </c>
      <c r="D146" s="29" t="s">
        <v>32</v>
      </c>
      <c r="E146" s="32" t="s">
        <v>2436</v>
      </c>
      <c r="F146" s="33" t="s">
        <v>1742</v>
      </c>
      <c r="G146" s="40">
        <v>46166</v>
      </c>
      <c r="H146" s="35">
        <v>20282.5</v>
      </c>
      <c r="I146" s="36"/>
      <c r="J146" s="35">
        <f>SUM(Table1[[#This Row],[LC Value]:[Amd Value]])</f>
        <v>20282.5</v>
      </c>
      <c r="K146" s="36">
        <v>3.05</v>
      </c>
      <c r="L146" s="37">
        <v>6650</v>
      </c>
      <c r="M146" s="33" t="s">
        <v>868</v>
      </c>
      <c r="N146" s="33" t="s">
        <v>1082</v>
      </c>
      <c r="O146" s="38" t="str">
        <f>IFERROR(_xlfn.XLOOKUP(C146, Data!$A$2:$A$236, Data!$C$2:$C$236), "")</f>
        <v>MD. Sir</v>
      </c>
    </row>
    <row r="147" spans="1:15" ht="42" customHeight="1" x14ac:dyDescent="0.35">
      <c r="A147" s="41">
        <f t="shared" si="1"/>
        <v>622</v>
      </c>
      <c r="B147" s="30" t="s">
        <v>2431</v>
      </c>
      <c r="C147" s="39" t="s">
        <v>214</v>
      </c>
      <c r="D147" s="29" t="s">
        <v>224</v>
      </c>
      <c r="E147" s="32" t="s">
        <v>2432</v>
      </c>
      <c r="F147" s="33" t="s">
        <v>1742</v>
      </c>
      <c r="G147" s="40">
        <v>46183</v>
      </c>
      <c r="H147" s="35">
        <v>45935</v>
      </c>
      <c r="I147" s="36"/>
      <c r="J147" s="35">
        <f>SUM(Table1[[#This Row],[LC Value]:[Amd Value]])</f>
        <v>45935</v>
      </c>
      <c r="K147" s="36">
        <v>3.95</v>
      </c>
      <c r="L147" s="37">
        <v>11700</v>
      </c>
      <c r="M147" s="33" t="s">
        <v>868</v>
      </c>
      <c r="N147" s="33" t="s">
        <v>1082</v>
      </c>
      <c r="O147" s="38" t="str">
        <f>IFERROR(_xlfn.XLOOKUP(C147, Data!$A$2:$A$236, Data!$C$2:$C$236), "")</f>
        <v>Mr. Lipu Sir</v>
      </c>
    </row>
    <row r="148" spans="1:15" ht="42" customHeight="1" x14ac:dyDescent="0.35">
      <c r="A148" s="41">
        <f t="shared" si="1"/>
        <v>621</v>
      </c>
      <c r="B148" s="30" t="s">
        <v>2421</v>
      </c>
      <c r="C148" s="39" t="s">
        <v>288</v>
      </c>
      <c r="D148" s="29" t="s">
        <v>1168</v>
      </c>
      <c r="E148" s="32" t="s">
        <v>2422</v>
      </c>
      <c r="F148" s="33" t="s">
        <v>1571</v>
      </c>
      <c r="G148" s="40">
        <v>46161</v>
      </c>
      <c r="H148" s="35">
        <v>25205</v>
      </c>
      <c r="I148" s="36"/>
      <c r="J148" s="35">
        <f>SUM(Table1[[#This Row],[LC Value]:[Amd Value]])</f>
        <v>25205</v>
      </c>
      <c r="K148" s="36">
        <v>3.55</v>
      </c>
      <c r="L148" s="37">
        <v>7100</v>
      </c>
      <c r="M148" s="33" t="s">
        <v>868</v>
      </c>
      <c r="N148" s="33" t="s">
        <v>1082</v>
      </c>
      <c r="O148" s="38" t="str">
        <f>IFERROR(_xlfn.XLOOKUP(C148, Data!$A$2:$A$236, Data!$C$2:$C$236), "")</f>
        <v>Mr. Reza Sir</v>
      </c>
    </row>
    <row r="149" spans="1:15" ht="42" customHeight="1" x14ac:dyDescent="0.35">
      <c r="A149" s="41">
        <f t="shared" si="1"/>
        <v>620</v>
      </c>
      <c r="B149" s="30" t="s">
        <v>2419</v>
      </c>
      <c r="C149" s="39" t="s">
        <v>195</v>
      </c>
      <c r="D149" s="29" t="s">
        <v>98</v>
      </c>
      <c r="E149" s="32" t="s">
        <v>2420</v>
      </c>
      <c r="F149" s="33" t="s">
        <v>1571</v>
      </c>
      <c r="G149" s="40">
        <v>46162</v>
      </c>
      <c r="H149" s="35">
        <v>11200</v>
      </c>
      <c r="I149" s="36"/>
      <c r="J149" s="35">
        <f>SUM(Table1[[#This Row],[LC Value]:[Amd Value]])</f>
        <v>11200</v>
      </c>
      <c r="K149" s="36">
        <v>3.5</v>
      </c>
      <c r="L149" s="37">
        <v>3200</v>
      </c>
      <c r="M149" s="33" t="s">
        <v>1658</v>
      </c>
      <c r="N149" s="33" t="s">
        <v>1962</v>
      </c>
      <c r="O149" s="38" t="str">
        <f>IFERROR(_xlfn.XLOOKUP(C149, Data!$A$2:$A$236, Data!$C$2:$C$236), "")</f>
        <v>Mr. Lipu Sir</v>
      </c>
    </row>
    <row r="150" spans="1:15" ht="42" customHeight="1" x14ac:dyDescent="0.35">
      <c r="A150" s="41">
        <f t="shared" si="1"/>
        <v>619</v>
      </c>
      <c r="B150" s="30" t="s">
        <v>2414</v>
      </c>
      <c r="C150" s="39" t="s">
        <v>138</v>
      </c>
      <c r="D150" s="29" t="s">
        <v>1125</v>
      </c>
      <c r="E150" s="32" t="s">
        <v>2415</v>
      </c>
      <c r="F150" s="33" t="s">
        <v>1571</v>
      </c>
      <c r="G150" s="40">
        <v>46166</v>
      </c>
      <c r="H150" s="35">
        <v>190000</v>
      </c>
      <c r="I150" s="36"/>
      <c r="J150" s="35">
        <f>SUM(Table1[[#This Row],[LC Value]:[Amd Value]])</f>
        <v>190000</v>
      </c>
      <c r="K150" s="36">
        <v>3.8</v>
      </c>
      <c r="L150" s="37">
        <v>50000</v>
      </c>
      <c r="M150" s="33" t="s">
        <v>1082</v>
      </c>
      <c r="N150" s="33" t="s">
        <v>1083</v>
      </c>
      <c r="O150" s="38" t="str">
        <f>IFERROR(_xlfn.XLOOKUP(C150, Data!$A$2:$A$236, Data!$C$2:$C$236), "")</f>
        <v>Mr. Amran Sir</v>
      </c>
    </row>
    <row r="151" spans="1:15" ht="42" customHeight="1" x14ac:dyDescent="0.35">
      <c r="A151" s="41">
        <f t="shared" si="1"/>
        <v>618</v>
      </c>
      <c r="B151" s="30" t="s">
        <v>2412</v>
      </c>
      <c r="C151" s="39" t="s">
        <v>138</v>
      </c>
      <c r="D151" s="29" t="s">
        <v>1125</v>
      </c>
      <c r="E151" s="32" t="s">
        <v>2413</v>
      </c>
      <c r="F151" s="33" t="s">
        <v>1571</v>
      </c>
      <c r="G151" s="40">
        <v>46162</v>
      </c>
      <c r="H151" s="35">
        <v>190000</v>
      </c>
      <c r="I151" s="36"/>
      <c r="J151" s="35">
        <f>SUM(Table1[[#This Row],[LC Value]:[Amd Value]])</f>
        <v>190000</v>
      </c>
      <c r="K151" s="36">
        <v>3.8</v>
      </c>
      <c r="L151" s="37">
        <v>50000</v>
      </c>
      <c r="M151" s="33" t="s">
        <v>1082</v>
      </c>
      <c r="N151" s="33" t="s">
        <v>1083</v>
      </c>
      <c r="O151" s="38" t="str">
        <f>IFERROR(_xlfn.XLOOKUP(C151, Data!$A$2:$A$236, Data!$C$2:$C$236), "")</f>
        <v>Mr. Amran Sir</v>
      </c>
    </row>
    <row r="152" spans="1:15" ht="42" customHeight="1" x14ac:dyDescent="0.35">
      <c r="A152" s="41">
        <f t="shared" si="1"/>
        <v>617</v>
      </c>
      <c r="B152" s="30" t="s">
        <v>2410</v>
      </c>
      <c r="C152" s="39" t="s">
        <v>90</v>
      </c>
      <c r="D152" s="29" t="s">
        <v>135</v>
      </c>
      <c r="E152" s="32" t="s">
        <v>2411</v>
      </c>
      <c r="F152" s="33" t="s">
        <v>1571</v>
      </c>
      <c r="G152" s="40">
        <v>46156</v>
      </c>
      <c r="H152" s="35">
        <v>171750</v>
      </c>
      <c r="I152" s="36"/>
      <c r="J152" s="35">
        <f>SUM(Table1[[#This Row],[LC Value]:[Amd Value]])</f>
        <v>171750</v>
      </c>
      <c r="K152" s="36">
        <v>3.65</v>
      </c>
      <c r="L152" s="37">
        <v>45000</v>
      </c>
      <c r="M152" s="33" t="s">
        <v>1602</v>
      </c>
      <c r="N152" s="33" t="s">
        <v>2375</v>
      </c>
      <c r="O152" s="38" t="str">
        <f>IFERROR(_xlfn.XLOOKUP(C152, Data!$A$2:$A$236, Data!$C$2:$C$236), "")</f>
        <v>Mr. Wadud Sir</v>
      </c>
    </row>
    <row r="153" spans="1:15" ht="42" customHeight="1" x14ac:dyDescent="0.35">
      <c r="A153" s="41">
        <f t="shared" si="1"/>
        <v>616</v>
      </c>
      <c r="B153" s="30" t="s">
        <v>2408</v>
      </c>
      <c r="C153" s="39" t="s">
        <v>200</v>
      </c>
      <c r="D153" s="29" t="s">
        <v>32</v>
      </c>
      <c r="E153" s="32" t="s">
        <v>2409</v>
      </c>
      <c r="F153" s="33" t="s">
        <v>1255</v>
      </c>
      <c r="G153" s="40">
        <v>46161</v>
      </c>
      <c r="H153" s="35">
        <v>49675</v>
      </c>
      <c r="I153" s="36"/>
      <c r="J153" s="35">
        <f>SUM(Table1[[#This Row],[LC Value]:[Amd Value]])</f>
        <v>49675</v>
      </c>
      <c r="K153" s="36">
        <v>3</v>
      </c>
      <c r="L153" s="37">
        <v>16200</v>
      </c>
      <c r="M153" s="33" t="s">
        <v>1658</v>
      </c>
      <c r="N153" s="33" t="s">
        <v>1082</v>
      </c>
      <c r="O153" s="38" t="str">
        <f>IFERROR(_xlfn.XLOOKUP(C153, Data!$A$2:$A$236, Data!$C$2:$C$236), "")</f>
        <v>MD. Sir</v>
      </c>
    </row>
    <row r="154" spans="1:15" ht="42" customHeight="1" x14ac:dyDescent="0.35">
      <c r="A154" s="41">
        <f t="shared" si="1"/>
        <v>615</v>
      </c>
      <c r="B154" s="30" t="s">
        <v>2406</v>
      </c>
      <c r="C154" s="39" t="s">
        <v>199</v>
      </c>
      <c r="D154" s="29" t="s">
        <v>32</v>
      </c>
      <c r="E154" s="32" t="s">
        <v>2407</v>
      </c>
      <c r="F154" s="33" t="s">
        <v>1255</v>
      </c>
      <c r="G154" s="40">
        <v>46161</v>
      </c>
      <c r="H154" s="35">
        <v>28800</v>
      </c>
      <c r="I154" s="36"/>
      <c r="J154" s="35">
        <f>SUM(Table1[[#This Row],[LC Value]:[Amd Value]])</f>
        <v>28800</v>
      </c>
      <c r="K154" s="36">
        <v>3</v>
      </c>
      <c r="L154" s="37">
        <v>9600</v>
      </c>
      <c r="M154" s="33" t="s">
        <v>1658</v>
      </c>
      <c r="N154" s="33" t="s">
        <v>1082</v>
      </c>
      <c r="O154" s="38" t="str">
        <f>IFERROR(_xlfn.XLOOKUP(C154, Data!$A$2:$A$236, Data!$C$2:$C$236), "")</f>
        <v>MD. Sir</v>
      </c>
    </row>
    <row r="155" spans="1:15" ht="42" customHeight="1" x14ac:dyDescent="0.35">
      <c r="A155" s="41">
        <f t="shared" si="1"/>
        <v>614</v>
      </c>
      <c r="B155" s="30" t="s">
        <v>2402</v>
      </c>
      <c r="C155" s="39" t="s">
        <v>286</v>
      </c>
      <c r="D155" s="29" t="s">
        <v>1672</v>
      </c>
      <c r="E155" s="32" t="s">
        <v>2403</v>
      </c>
      <c r="F155" s="33" t="s">
        <v>1255</v>
      </c>
      <c r="G155" s="40">
        <v>46161</v>
      </c>
      <c r="H155" s="35"/>
      <c r="I155" s="36"/>
      <c r="J155" s="35">
        <f>SUM(Table1[[#This Row],[LC Value]:[Amd Value]])</f>
        <v>0</v>
      </c>
      <c r="K155" s="36">
        <v>3.7</v>
      </c>
      <c r="L155" s="37">
        <v>28450</v>
      </c>
      <c r="M155" s="33" t="s">
        <v>1658</v>
      </c>
      <c r="N155" s="33" t="s">
        <v>1082</v>
      </c>
      <c r="O155" s="38" t="str">
        <f>IFERROR(_xlfn.XLOOKUP(C155, Data!$A$2:$A$236, Data!$C$2:$C$236), "")</f>
        <v>Mr. Reza Sir</v>
      </c>
    </row>
    <row r="156" spans="1:15" ht="42" customHeight="1" x14ac:dyDescent="0.35">
      <c r="A156" s="41">
        <f t="shared" si="1"/>
        <v>613</v>
      </c>
      <c r="B156" s="30" t="s">
        <v>2400</v>
      </c>
      <c r="C156" s="39" t="s">
        <v>141</v>
      </c>
      <c r="D156" s="29" t="s">
        <v>2176</v>
      </c>
      <c r="E156" s="32" t="s">
        <v>2401</v>
      </c>
      <c r="F156" s="33" t="s">
        <v>1255</v>
      </c>
      <c r="G156" s="40">
        <v>46162</v>
      </c>
      <c r="H156" s="35">
        <v>57455</v>
      </c>
      <c r="I156" s="36"/>
      <c r="J156" s="35">
        <f>SUM(Table1[[#This Row],[LC Value]:[Amd Value]])</f>
        <v>57455</v>
      </c>
      <c r="K156" s="36">
        <v>3.8</v>
      </c>
      <c r="L156" s="37">
        <v>15050</v>
      </c>
      <c r="M156" s="33" t="s">
        <v>1658</v>
      </c>
      <c r="N156" s="33" t="s">
        <v>1082</v>
      </c>
      <c r="O156" s="38" t="str">
        <f>IFERROR(_xlfn.XLOOKUP(C156, Data!$A$2:$A$236, Data!$C$2:$C$236), "")</f>
        <v>Mr. Reza Sir</v>
      </c>
    </row>
    <row r="157" spans="1:15" ht="42" customHeight="1" x14ac:dyDescent="0.35">
      <c r="A157" s="41">
        <f t="shared" si="1"/>
        <v>612</v>
      </c>
      <c r="B157" s="30" t="s">
        <v>2396</v>
      </c>
      <c r="C157" s="39" t="s">
        <v>199</v>
      </c>
      <c r="D157" s="29" t="s">
        <v>98</v>
      </c>
      <c r="E157" s="32" t="s">
        <v>2397</v>
      </c>
      <c r="F157" s="33" t="s">
        <v>1255</v>
      </c>
      <c r="G157" s="40">
        <v>46162</v>
      </c>
      <c r="H157" s="35">
        <v>35760</v>
      </c>
      <c r="I157" s="36"/>
      <c r="J157" s="35">
        <f>SUM(Table1[[#This Row],[LC Value]:[Amd Value]])</f>
        <v>35760</v>
      </c>
      <c r="K157" s="36">
        <v>2.4</v>
      </c>
      <c r="L157" s="37">
        <v>14900</v>
      </c>
      <c r="M157" s="33" t="s">
        <v>1658</v>
      </c>
      <c r="N157" s="33" t="s">
        <v>1082</v>
      </c>
      <c r="O157" s="38" t="str">
        <f>IFERROR(_xlfn.XLOOKUP(C157, Data!$A$2:$A$236, Data!$C$2:$C$236), "")</f>
        <v>MD. Sir</v>
      </c>
    </row>
    <row r="158" spans="1:15" ht="42" customHeight="1" x14ac:dyDescent="0.35">
      <c r="A158" s="41">
        <f t="shared" si="1"/>
        <v>611</v>
      </c>
      <c r="B158" s="30" t="s">
        <v>2394</v>
      </c>
      <c r="C158" s="39" t="s">
        <v>200</v>
      </c>
      <c r="D158" s="29" t="s">
        <v>135</v>
      </c>
      <c r="E158" s="32" t="s">
        <v>2395</v>
      </c>
      <c r="F158" s="33" t="s">
        <v>1255</v>
      </c>
      <c r="G158" s="40">
        <v>46166</v>
      </c>
      <c r="H158" s="35">
        <v>32355</v>
      </c>
      <c r="I158" s="36"/>
      <c r="J158" s="35">
        <f>SUM(Table1[[#This Row],[LC Value]:[Amd Value]])</f>
        <v>32355</v>
      </c>
      <c r="K158" s="36">
        <v>3.5</v>
      </c>
      <c r="L158" s="37">
        <v>9100</v>
      </c>
      <c r="M158" s="33" t="s">
        <v>1658</v>
      </c>
      <c r="N158" s="33" t="s">
        <v>1082</v>
      </c>
      <c r="O158" s="38" t="str">
        <f>IFERROR(_xlfn.XLOOKUP(C158, Data!$A$2:$A$236, Data!$C$2:$C$236), "")</f>
        <v>MD. Sir</v>
      </c>
    </row>
    <row r="159" spans="1:15" ht="42" customHeight="1" x14ac:dyDescent="0.35">
      <c r="A159" s="41">
        <f t="shared" si="1"/>
        <v>610</v>
      </c>
      <c r="B159" s="30" t="s">
        <v>2392</v>
      </c>
      <c r="C159" s="39" t="s">
        <v>1097</v>
      </c>
      <c r="D159" s="29" t="s">
        <v>273</v>
      </c>
      <c r="E159" s="32" t="s">
        <v>2393</v>
      </c>
      <c r="F159" s="33" t="s">
        <v>1255</v>
      </c>
      <c r="G159" s="40">
        <v>46162</v>
      </c>
      <c r="H159" s="35">
        <v>36620</v>
      </c>
      <c r="I159" s="36"/>
      <c r="J159" s="35">
        <f>SUM(Table1[[#This Row],[LC Value]:[Amd Value]])</f>
        <v>36620</v>
      </c>
      <c r="K159" s="36">
        <v>3.45</v>
      </c>
      <c r="L159" s="37">
        <v>10400</v>
      </c>
      <c r="M159" s="33" t="s">
        <v>1658</v>
      </c>
      <c r="N159" s="33" t="s">
        <v>1082</v>
      </c>
      <c r="O159" s="38" t="str">
        <f>IFERROR(_xlfn.XLOOKUP(C159, Data!$A$2:$A$236, Data!$C$2:$C$236), "")</f>
        <v>Mr. Wadud Sir</v>
      </c>
    </row>
    <row r="160" spans="1:15" ht="42" customHeight="1" x14ac:dyDescent="0.35">
      <c r="A160" s="41">
        <f t="shared" si="1"/>
        <v>609</v>
      </c>
      <c r="B160" s="30" t="s">
        <v>2390</v>
      </c>
      <c r="C160" s="39" t="s">
        <v>22</v>
      </c>
      <c r="D160" s="29" t="s">
        <v>213</v>
      </c>
      <c r="E160" s="32" t="s">
        <v>2391</v>
      </c>
      <c r="F160" s="33" t="s">
        <v>1255</v>
      </c>
      <c r="G160" s="40">
        <v>46166</v>
      </c>
      <c r="H160" s="35">
        <v>9800</v>
      </c>
      <c r="I160" s="36"/>
      <c r="J160" s="35">
        <f>SUM(Table1[[#This Row],[LC Value]:[Amd Value]])</f>
        <v>9800</v>
      </c>
      <c r="K160" s="36">
        <v>3.5</v>
      </c>
      <c r="L160" s="37">
        <v>2800</v>
      </c>
      <c r="M160" s="33" t="s">
        <v>869</v>
      </c>
      <c r="N160" s="33" t="s">
        <v>868</v>
      </c>
      <c r="O160" s="38" t="str">
        <f>IFERROR(_xlfn.XLOOKUP(C160, Data!$A$2:$A$236, Data!$C$2:$C$236), "")</f>
        <v>Director Sir</v>
      </c>
    </row>
    <row r="161" spans="1:15" ht="42" customHeight="1" x14ac:dyDescent="0.35">
      <c r="A161" s="41">
        <f t="shared" si="1"/>
        <v>608</v>
      </c>
      <c r="B161" s="30" t="s">
        <v>2388</v>
      </c>
      <c r="C161" s="39" t="s">
        <v>141</v>
      </c>
      <c r="D161" s="29" t="s">
        <v>2176</v>
      </c>
      <c r="E161" s="32" t="s">
        <v>2389</v>
      </c>
      <c r="F161" s="33" t="s">
        <v>1255</v>
      </c>
      <c r="G161" s="40">
        <v>46160</v>
      </c>
      <c r="H161" s="35">
        <v>26425</v>
      </c>
      <c r="I161" s="36"/>
      <c r="J161" s="35">
        <f>SUM(Table1[[#This Row],[LC Value]:[Amd Value]])</f>
        <v>26425</v>
      </c>
      <c r="K161" s="36">
        <v>3.5</v>
      </c>
      <c r="L161" s="37">
        <v>7550</v>
      </c>
      <c r="M161" s="33" t="s">
        <v>1605</v>
      </c>
      <c r="N161" s="33" t="s">
        <v>1658</v>
      </c>
      <c r="O161" s="38" t="str">
        <f>IFERROR(_xlfn.XLOOKUP(C161, Data!$A$2:$A$236, Data!$C$2:$C$236), "")</f>
        <v>Mr. Reza Sir</v>
      </c>
    </row>
    <row r="162" spans="1:15" ht="42" customHeight="1" x14ac:dyDescent="0.35">
      <c r="A162" s="41">
        <f t="shared" si="1"/>
        <v>607</v>
      </c>
      <c r="B162" s="30" t="s">
        <v>2386</v>
      </c>
      <c r="C162" s="39" t="s">
        <v>141</v>
      </c>
      <c r="D162" s="29" t="s">
        <v>2176</v>
      </c>
      <c r="E162" s="32" t="s">
        <v>2387</v>
      </c>
      <c r="F162" s="33" t="s">
        <v>1255</v>
      </c>
      <c r="G162" s="40">
        <v>46160</v>
      </c>
      <c r="H162" s="35">
        <v>25550</v>
      </c>
      <c r="I162" s="36"/>
      <c r="J162" s="35">
        <f>SUM(Table1[[#This Row],[LC Value]:[Amd Value]])</f>
        <v>25550</v>
      </c>
      <c r="K162" s="36">
        <v>3.5</v>
      </c>
      <c r="L162" s="37">
        <v>7300</v>
      </c>
      <c r="M162" s="33" t="s">
        <v>1605</v>
      </c>
      <c r="N162" s="33" t="s">
        <v>1658</v>
      </c>
      <c r="O162" s="38" t="str">
        <f>IFERROR(_xlfn.XLOOKUP(C162, Data!$A$2:$A$236, Data!$C$2:$C$236), "")</f>
        <v>Mr. Reza Sir</v>
      </c>
    </row>
    <row r="163" spans="1:15" ht="42" customHeight="1" x14ac:dyDescent="0.35">
      <c r="A163" s="41">
        <f t="shared" si="1"/>
        <v>606</v>
      </c>
      <c r="B163" s="30" t="s">
        <v>2378</v>
      </c>
      <c r="C163" s="39" t="s">
        <v>199</v>
      </c>
      <c r="D163" s="29" t="s">
        <v>32</v>
      </c>
      <c r="E163" s="32" t="s">
        <v>2379</v>
      </c>
      <c r="F163" s="33" t="s">
        <v>1940</v>
      </c>
      <c r="G163" s="40">
        <v>46162</v>
      </c>
      <c r="H163" s="35">
        <v>13230</v>
      </c>
      <c r="I163" s="36"/>
      <c r="J163" s="35">
        <f>SUM(Table1[[#This Row],[LC Value]:[Amd Value]])</f>
        <v>13230</v>
      </c>
      <c r="K163" s="36">
        <v>3.4</v>
      </c>
      <c r="L163" s="37">
        <v>4200</v>
      </c>
      <c r="M163" s="33" t="s">
        <v>1602</v>
      </c>
      <c r="N163" s="33" t="s">
        <v>2375</v>
      </c>
      <c r="O163" s="38" t="str">
        <f>IFERROR(_xlfn.XLOOKUP(C163, Data!$A$2:$A$236, Data!$C$2:$C$236), "")</f>
        <v>MD. Sir</v>
      </c>
    </row>
    <row r="164" spans="1:15" ht="42" customHeight="1" x14ac:dyDescent="0.35">
      <c r="A164" s="41">
        <f t="shared" si="1"/>
        <v>605</v>
      </c>
      <c r="B164" s="30" t="s">
        <v>2376</v>
      </c>
      <c r="C164" s="39" t="s">
        <v>199</v>
      </c>
      <c r="D164" s="29" t="s">
        <v>32</v>
      </c>
      <c r="E164" s="32" t="s">
        <v>2377</v>
      </c>
      <c r="F164" s="33" t="s">
        <v>1940</v>
      </c>
      <c r="G164" s="40">
        <v>46160</v>
      </c>
      <c r="H164" s="35">
        <v>16225</v>
      </c>
      <c r="I164" s="36"/>
      <c r="J164" s="35">
        <f>SUM(Table1[[#This Row],[LC Value]:[Amd Value]])</f>
        <v>16225</v>
      </c>
      <c r="K164" s="36">
        <v>3.4</v>
      </c>
      <c r="L164" s="37">
        <v>4800</v>
      </c>
      <c r="M164" s="33" t="s">
        <v>1602</v>
      </c>
      <c r="N164" s="33" t="s">
        <v>2375</v>
      </c>
      <c r="O164" s="38" t="str">
        <f>IFERROR(_xlfn.XLOOKUP(C164, Data!$A$2:$A$236, Data!$C$2:$C$236), "")</f>
        <v>MD. Sir</v>
      </c>
    </row>
    <row r="165" spans="1:15" ht="42" customHeight="1" x14ac:dyDescent="0.35">
      <c r="A165" s="41">
        <f t="shared" si="1"/>
        <v>604</v>
      </c>
      <c r="B165" s="30" t="s">
        <v>2373</v>
      </c>
      <c r="C165" s="39" t="s">
        <v>200</v>
      </c>
      <c r="D165" s="29" t="s">
        <v>32</v>
      </c>
      <c r="E165" s="32" t="s">
        <v>2374</v>
      </c>
      <c r="F165" s="33" t="s">
        <v>1940</v>
      </c>
      <c r="G165" s="40">
        <v>46160</v>
      </c>
      <c r="H165" s="35">
        <v>26260</v>
      </c>
      <c r="I165" s="36"/>
      <c r="J165" s="35">
        <f>SUM(Table1[[#This Row],[LC Value]:[Amd Value]])</f>
        <v>26260</v>
      </c>
      <c r="K165" s="36">
        <v>3.2</v>
      </c>
      <c r="L165" s="37">
        <v>8300</v>
      </c>
      <c r="M165" s="33" t="s">
        <v>1602</v>
      </c>
      <c r="N165" s="33" t="s">
        <v>2375</v>
      </c>
      <c r="O165" s="38" t="str">
        <f>IFERROR(_xlfn.XLOOKUP(C165, Data!$A$2:$A$236, Data!$C$2:$C$236), "")</f>
        <v>MD. Sir</v>
      </c>
    </row>
    <row r="166" spans="1:15" ht="42" customHeight="1" x14ac:dyDescent="0.35">
      <c r="A166" s="109">
        <f t="shared" si="1"/>
        <v>603</v>
      </c>
      <c r="B166" s="30" t="s">
        <v>2371</v>
      </c>
      <c r="C166" s="39" t="s">
        <v>141</v>
      </c>
      <c r="D166" s="29" t="s">
        <v>2176</v>
      </c>
      <c r="E166" s="32" t="s">
        <v>2372</v>
      </c>
      <c r="F166" s="33" t="s">
        <v>1940</v>
      </c>
      <c r="G166" s="40">
        <v>46160</v>
      </c>
      <c r="H166" s="35">
        <v>76950</v>
      </c>
      <c r="I166" s="36">
        <v>-12780</v>
      </c>
      <c r="J166" s="35">
        <f>SUM(Table1[[#This Row],[LC Value]:[Amd Value]])</f>
        <v>64170</v>
      </c>
      <c r="K166" s="36">
        <v>3.8</v>
      </c>
      <c r="L166" s="37">
        <v>20250</v>
      </c>
      <c r="M166" s="33" t="s">
        <v>1605</v>
      </c>
      <c r="N166" s="33" t="s">
        <v>1658</v>
      </c>
      <c r="O166" s="38" t="str">
        <f>IFERROR(_xlfn.XLOOKUP(C166, Data!$A$2:$A$236, Data!$C$2:$C$236), "")</f>
        <v>Mr. Reza Sir</v>
      </c>
    </row>
    <row r="167" spans="1:15" ht="42" customHeight="1" x14ac:dyDescent="0.35">
      <c r="A167" s="109">
        <f t="shared" si="1"/>
        <v>602</v>
      </c>
      <c r="B167" s="30" t="s">
        <v>2369</v>
      </c>
      <c r="C167" s="39" t="s">
        <v>97</v>
      </c>
      <c r="D167" s="29" t="s">
        <v>280</v>
      </c>
      <c r="E167" s="32" t="s">
        <v>2370</v>
      </c>
      <c r="F167" s="33" t="s">
        <v>1940</v>
      </c>
      <c r="G167" s="40">
        <v>46162</v>
      </c>
      <c r="H167" s="35">
        <v>32200</v>
      </c>
      <c r="I167" s="36"/>
      <c r="J167" s="35">
        <f>SUM(Table1[[#This Row],[LC Value]:[Amd Value]])</f>
        <v>32200</v>
      </c>
      <c r="K167" s="36">
        <v>4.5999999999999996</v>
      </c>
      <c r="L167" s="37">
        <v>7000</v>
      </c>
      <c r="M167" s="33" t="s">
        <v>2122</v>
      </c>
      <c r="N167" s="33" t="s">
        <v>2368</v>
      </c>
      <c r="O167" s="38" t="str">
        <f>IFERROR(_xlfn.XLOOKUP(C167, Data!$A$2:$A$236, Data!$C$2:$C$236), "")</f>
        <v>Mr. Reza Sir</v>
      </c>
    </row>
    <row r="168" spans="1:15" ht="42" customHeight="1" x14ac:dyDescent="0.35">
      <c r="A168" s="109">
        <f t="shared" si="1"/>
        <v>601</v>
      </c>
      <c r="B168" s="30" t="s">
        <v>2366</v>
      </c>
      <c r="C168" s="39" t="s">
        <v>97</v>
      </c>
      <c r="D168" s="29" t="s">
        <v>280</v>
      </c>
      <c r="E168" s="32" t="s">
        <v>2367</v>
      </c>
      <c r="F168" s="33" t="s">
        <v>1940</v>
      </c>
      <c r="G168" s="40">
        <v>46160</v>
      </c>
      <c r="H168" s="35">
        <v>28737.5</v>
      </c>
      <c r="I168" s="36"/>
      <c r="J168" s="35">
        <f>SUM(Table1[[#This Row],[LC Value]:[Amd Value]])</f>
        <v>28737.5</v>
      </c>
      <c r="K168" s="36">
        <v>3.45</v>
      </c>
      <c r="L168" s="37">
        <v>8200</v>
      </c>
      <c r="M168" s="33" t="s">
        <v>2122</v>
      </c>
      <c r="N168" s="33" t="s">
        <v>2368</v>
      </c>
      <c r="O168" s="38" t="str">
        <f>IFERROR(_xlfn.XLOOKUP(C168, Data!$A$2:$A$236, Data!$C$2:$C$236), "")</f>
        <v>Mr. Reza Sir</v>
      </c>
    </row>
    <row r="169" spans="1:15" ht="42" customHeight="1" x14ac:dyDescent="0.35">
      <c r="A169" s="109">
        <f t="shared" si="1"/>
        <v>600</v>
      </c>
      <c r="B169" s="30" t="s">
        <v>2364</v>
      </c>
      <c r="C169" s="39" t="s">
        <v>138</v>
      </c>
      <c r="D169" s="29" t="s">
        <v>1125</v>
      </c>
      <c r="E169" s="32" t="s">
        <v>2365</v>
      </c>
      <c r="F169" s="33" t="s">
        <v>1940</v>
      </c>
      <c r="G169" s="40">
        <v>46158</v>
      </c>
      <c r="H169" s="35">
        <v>190000</v>
      </c>
      <c r="I169" s="36"/>
      <c r="J169" s="35">
        <f>SUM(Table1[[#This Row],[LC Value]:[Amd Value]])</f>
        <v>190000</v>
      </c>
      <c r="K169" s="36">
        <v>3.8</v>
      </c>
      <c r="L169" s="37">
        <v>50000</v>
      </c>
      <c r="M169" s="33" t="s">
        <v>1082</v>
      </c>
      <c r="N169" s="33" t="s">
        <v>1083</v>
      </c>
      <c r="O169" s="38" t="str">
        <f>IFERROR(_xlfn.XLOOKUP(C169, Data!$A$2:$A$236, Data!$C$2:$C$236), "")</f>
        <v>Mr. Amran Sir</v>
      </c>
    </row>
    <row r="170" spans="1:15" ht="42" customHeight="1" x14ac:dyDescent="0.35">
      <c r="A170" s="109">
        <f t="shared" si="1"/>
        <v>599</v>
      </c>
      <c r="B170" s="30" t="s">
        <v>2362</v>
      </c>
      <c r="C170" s="39" t="s">
        <v>138</v>
      </c>
      <c r="D170" s="29" t="s">
        <v>1125</v>
      </c>
      <c r="E170" s="32" t="s">
        <v>2363</v>
      </c>
      <c r="F170" s="33" t="s">
        <v>1940</v>
      </c>
      <c r="G170" s="40">
        <v>46160</v>
      </c>
      <c r="H170" s="35">
        <v>190000</v>
      </c>
      <c r="I170" s="36"/>
      <c r="J170" s="35">
        <f>SUM(Table1[[#This Row],[LC Value]:[Amd Value]])</f>
        <v>190000</v>
      </c>
      <c r="K170" s="36">
        <v>3.8</v>
      </c>
      <c r="L170" s="37">
        <v>50000</v>
      </c>
      <c r="M170" s="33" t="s">
        <v>1082</v>
      </c>
      <c r="N170" s="33" t="s">
        <v>1083</v>
      </c>
      <c r="O170" s="38" t="str">
        <f>IFERROR(_xlfn.XLOOKUP(C170, Data!$A$2:$A$236, Data!$C$2:$C$236), "")</f>
        <v>Mr. Amran Sir</v>
      </c>
    </row>
    <row r="171" spans="1:15" ht="42" customHeight="1" x14ac:dyDescent="0.35">
      <c r="A171" s="109">
        <f t="shared" si="1"/>
        <v>598</v>
      </c>
      <c r="B171" s="30" t="s">
        <v>2360</v>
      </c>
      <c r="C171" s="31" t="s">
        <v>277</v>
      </c>
      <c r="D171" s="29" t="s">
        <v>32</v>
      </c>
      <c r="E171" s="135" t="s">
        <v>2361</v>
      </c>
      <c r="F171" s="33" t="s">
        <v>1698</v>
      </c>
      <c r="G171" s="34">
        <v>46154</v>
      </c>
      <c r="H171" s="35">
        <v>134175</v>
      </c>
      <c r="I171" s="36"/>
      <c r="J171" s="35">
        <f>SUM(Table1[[#This Row],[LC Value]:[Amd Value]])</f>
        <v>134175</v>
      </c>
      <c r="K171" s="36">
        <v>3.75</v>
      </c>
      <c r="L171" s="37">
        <v>35500</v>
      </c>
      <c r="M171" s="33" t="s">
        <v>1332</v>
      </c>
      <c r="N171" s="33" t="s">
        <v>1799</v>
      </c>
      <c r="O171" s="38" t="str">
        <f>IFERROR(_xlfn.XLOOKUP(C171, Data!$A$2:$A$236, Data!$C$2:$C$236), "")</f>
        <v>Mr. Amran Sir</v>
      </c>
    </row>
    <row r="172" spans="1:15" ht="42" customHeight="1" x14ac:dyDescent="0.35">
      <c r="A172" s="109">
        <f t="shared" si="1"/>
        <v>597</v>
      </c>
      <c r="B172" s="30" t="s">
        <v>2357</v>
      </c>
      <c r="C172" s="39" t="s">
        <v>2358</v>
      </c>
      <c r="D172" s="29" t="s">
        <v>273</v>
      </c>
      <c r="E172" s="32" t="s">
        <v>2359</v>
      </c>
      <c r="F172" s="33" t="s">
        <v>1698</v>
      </c>
      <c r="G172" s="40">
        <v>46158</v>
      </c>
      <c r="H172" s="35">
        <v>20940</v>
      </c>
      <c r="I172" s="36"/>
      <c r="J172" s="35">
        <f>SUM(Table1[[#This Row],[LC Value]:[Amd Value]])</f>
        <v>20940</v>
      </c>
      <c r="K172" s="36">
        <v>2.75</v>
      </c>
      <c r="L172" s="37">
        <v>7550</v>
      </c>
      <c r="M172" s="33" t="s">
        <v>1332</v>
      </c>
      <c r="N172" s="33" t="s">
        <v>1799</v>
      </c>
      <c r="O172" s="38" t="str">
        <f>IFERROR(_xlfn.XLOOKUP(C172, Data!$A$2:$A$236, Data!$C$2:$C$236), "")</f>
        <v>Mr. Lipu Sir</v>
      </c>
    </row>
    <row r="173" spans="1:15" ht="42" customHeight="1" x14ac:dyDescent="0.35">
      <c r="A173" s="109">
        <f t="shared" si="1"/>
        <v>596</v>
      </c>
      <c r="B173" s="30" t="s">
        <v>2355</v>
      </c>
      <c r="C173" s="39" t="s">
        <v>199</v>
      </c>
      <c r="D173" s="29" t="s">
        <v>98</v>
      </c>
      <c r="E173" s="32" t="s">
        <v>2356</v>
      </c>
      <c r="F173" s="33" t="s">
        <v>1401</v>
      </c>
      <c r="G173" s="40">
        <v>46158</v>
      </c>
      <c r="H173" s="35">
        <v>15200</v>
      </c>
      <c r="I173" s="36"/>
      <c r="J173" s="35">
        <f>SUM(Table1[[#This Row],[LC Value]:[Amd Value]])</f>
        <v>15200</v>
      </c>
      <c r="K173" s="36">
        <v>3.8</v>
      </c>
      <c r="L173" s="37">
        <v>4000</v>
      </c>
      <c r="M173" s="33" t="s">
        <v>2122</v>
      </c>
      <c r="N173" s="33" t="s">
        <v>1083</v>
      </c>
      <c r="O173" s="38" t="str">
        <f>IFERROR(_xlfn.XLOOKUP(C173, Data!$A$2:$A$236, Data!$C$2:$C$236), "")</f>
        <v>MD. Sir</v>
      </c>
    </row>
    <row r="174" spans="1:15" ht="42" customHeight="1" x14ac:dyDescent="0.35">
      <c r="A174" s="109">
        <f t="shared" si="1"/>
        <v>595</v>
      </c>
      <c r="B174" s="30" t="s">
        <v>2353</v>
      </c>
      <c r="C174" s="39" t="s">
        <v>200</v>
      </c>
      <c r="D174" s="29" t="s">
        <v>98</v>
      </c>
      <c r="E174" s="32" t="s">
        <v>2354</v>
      </c>
      <c r="F174" s="33" t="s">
        <v>1401</v>
      </c>
      <c r="G174" s="40">
        <v>46158</v>
      </c>
      <c r="H174" s="35">
        <v>41825</v>
      </c>
      <c r="I174" s="36"/>
      <c r="J174" s="35">
        <f>SUM(Table1[[#This Row],[LC Value]:[Amd Value]])</f>
        <v>41825</v>
      </c>
      <c r="K174" s="36">
        <v>3.5</v>
      </c>
      <c r="L174" s="37">
        <v>11950</v>
      </c>
      <c r="M174" s="33" t="s">
        <v>2122</v>
      </c>
      <c r="N174" s="33" t="s">
        <v>1083</v>
      </c>
      <c r="O174" s="38" t="str">
        <f>IFERROR(_xlfn.XLOOKUP(C174, Data!$A$2:$A$236, Data!$C$2:$C$236), "")</f>
        <v>MD. Sir</v>
      </c>
    </row>
    <row r="175" spans="1:15" ht="42" customHeight="1" x14ac:dyDescent="0.35">
      <c r="A175" s="109">
        <f t="shared" si="1"/>
        <v>594</v>
      </c>
      <c r="B175" s="30" t="s">
        <v>2351</v>
      </c>
      <c r="C175" s="39" t="s">
        <v>141</v>
      </c>
      <c r="D175" s="29" t="s">
        <v>2176</v>
      </c>
      <c r="E175" s="32" t="s">
        <v>2352</v>
      </c>
      <c r="F175" s="33" t="s">
        <v>1401</v>
      </c>
      <c r="G175" s="40">
        <v>46158</v>
      </c>
      <c r="H175" s="35">
        <v>29750</v>
      </c>
      <c r="I175" s="36"/>
      <c r="J175" s="35">
        <f>SUM(Table1[[#This Row],[LC Value]:[Amd Value]])</f>
        <v>29750</v>
      </c>
      <c r="K175" s="36">
        <v>3.5</v>
      </c>
      <c r="L175" s="37">
        <v>8500</v>
      </c>
      <c r="M175" s="33" t="s">
        <v>2122</v>
      </c>
      <c r="N175" s="33" t="s">
        <v>1083</v>
      </c>
      <c r="O175" s="38" t="str">
        <f>IFERROR(_xlfn.XLOOKUP(C175, Data!$A$2:$A$236, Data!$C$2:$C$236), "")</f>
        <v>Mr. Reza Sir</v>
      </c>
    </row>
    <row r="176" spans="1:15" ht="42" customHeight="1" x14ac:dyDescent="0.35">
      <c r="A176" s="109">
        <f t="shared" si="1"/>
        <v>593</v>
      </c>
      <c r="B176" s="30" t="s">
        <v>2349</v>
      </c>
      <c r="C176" s="39" t="s">
        <v>141</v>
      </c>
      <c r="D176" s="29" t="s">
        <v>2176</v>
      </c>
      <c r="E176" s="32" t="s">
        <v>2350</v>
      </c>
      <c r="F176" s="33" t="s">
        <v>1401</v>
      </c>
      <c r="G176" s="40">
        <v>46158</v>
      </c>
      <c r="H176" s="35">
        <v>41825</v>
      </c>
      <c r="I176" s="36"/>
      <c r="J176" s="35">
        <f>SUM(Table1[[#This Row],[LC Value]:[Amd Value]])</f>
        <v>41825</v>
      </c>
      <c r="K176" s="36">
        <v>3.5</v>
      </c>
      <c r="L176" s="37">
        <v>11950</v>
      </c>
      <c r="M176" s="33" t="s">
        <v>2122</v>
      </c>
      <c r="N176" s="33" t="s">
        <v>1083</v>
      </c>
      <c r="O176" s="38" t="str">
        <f>IFERROR(_xlfn.XLOOKUP(C176, Data!$A$2:$A$236, Data!$C$2:$C$236), "")</f>
        <v>Mr. Reza Sir</v>
      </c>
    </row>
    <row r="177" spans="1:15" ht="42" customHeight="1" x14ac:dyDescent="0.35">
      <c r="A177" s="109">
        <f t="shared" si="1"/>
        <v>592</v>
      </c>
      <c r="B177" s="30" t="s">
        <v>2343</v>
      </c>
      <c r="C177" s="39" t="s">
        <v>201</v>
      </c>
      <c r="D177" s="29" t="s">
        <v>21</v>
      </c>
      <c r="E177" s="32" t="s">
        <v>2344</v>
      </c>
      <c r="F177" s="33" t="s">
        <v>1698</v>
      </c>
      <c r="G177" s="40">
        <v>46158</v>
      </c>
      <c r="H177" s="35">
        <v>98750</v>
      </c>
      <c r="I177" s="36"/>
      <c r="J177" s="35">
        <f>SUM(Table1[[#This Row],[LC Value]:[Amd Value]])</f>
        <v>98750</v>
      </c>
      <c r="K177" s="36">
        <v>3.95</v>
      </c>
      <c r="L177" s="37">
        <v>25000</v>
      </c>
      <c r="M177" s="33" t="s">
        <v>2122</v>
      </c>
      <c r="N177" s="33" t="s">
        <v>1083</v>
      </c>
      <c r="O177" s="38" t="str">
        <f>IFERROR(_xlfn.XLOOKUP(C177, Data!$A$2:$A$236, Data!$C$2:$C$236), "")</f>
        <v>Director Sir</v>
      </c>
    </row>
    <row r="178" spans="1:15" ht="42" customHeight="1" x14ac:dyDescent="0.35">
      <c r="A178" s="109">
        <f t="shared" si="1"/>
        <v>591</v>
      </c>
      <c r="B178" s="30" t="s">
        <v>2341</v>
      </c>
      <c r="C178" s="39" t="s">
        <v>201</v>
      </c>
      <c r="D178" s="29" t="s">
        <v>96</v>
      </c>
      <c r="E178" s="32" t="s">
        <v>2342</v>
      </c>
      <c r="F178" s="33" t="s">
        <v>2284</v>
      </c>
      <c r="G178" s="40">
        <v>46158</v>
      </c>
      <c r="H178" s="35">
        <v>78120</v>
      </c>
      <c r="I178" s="36"/>
      <c r="J178" s="35">
        <f>SUM(Table1[[#This Row],[LC Value]:[Amd Value]])</f>
        <v>78120</v>
      </c>
      <c r="K178" s="36">
        <v>3.15</v>
      </c>
      <c r="L178" s="37">
        <v>24800</v>
      </c>
      <c r="M178" s="33" t="s">
        <v>1083</v>
      </c>
      <c r="N178" s="33" t="s">
        <v>2336</v>
      </c>
      <c r="O178" s="38" t="str">
        <f>IFERROR(_xlfn.XLOOKUP(C178, Data!$A$2:$A$236, Data!$C$2:$C$236), "")</f>
        <v>Director Sir</v>
      </c>
    </row>
    <row r="179" spans="1:15" ht="42" customHeight="1" x14ac:dyDescent="0.35">
      <c r="A179" s="109">
        <f t="shared" si="1"/>
        <v>590</v>
      </c>
      <c r="B179" s="30" t="s">
        <v>2339</v>
      </c>
      <c r="C179" s="39" t="s">
        <v>201</v>
      </c>
      <c r="D179" s="29" t="s">
        <v>96</v>
      </c>
      <c r="E179" s="32" t="s">
        <v>2340</v>
      </c>
      <c r="F179" s="33" t="s">
        <v>2284</v>
      </c>
      <c r="G179" s="40">
        <v>46153</v>
      </c>
      <c r="H179" s="35">
        <v>51975</v>
      </c>
      <c r="I179" s="36"/>
      <c r="J179" s="35">
        <f>SUM(Table1[[#This Row],[LC Value]:[Amd Value]])</f>
        <v>51975</v>
      </c>
      <c r="K179" s="36">
        <v>3.15</v>
      </c>
      <c r="L179" s="37">
        <v>16500</v>
      </c>
      <c r="M179" s="33" t="s">
        <v>1083</v>
      </c>
      <c r="N179" s="33" t="s">
        <v>2336</v>
      </c>
      <c r="O179" s="38" t="str">
        <f>IFERROR(_xlfn.XLOOKUP(C179, Data!$A$2:$A$236, Data!$C$2:$C$236), "")</f>
        <v>Director Sir</v>
      </c>
    </row>
    <row r="180" spans="1:15" ht="42" customHeight="1" x14ac:dyDescent="0.35">
      <c r="A180" s="109">
        <f t="shared" si="1"/>
        <v>589</v>
      </c>
      <c r="B180" s="30" t="s">
        <v>2337</v>
      </c>
      <c r="C180" s="39" t="s">
        <v>199</v>
      </c>
      <c r="D180" s="29" t="s">
        <v>353</v>
      </c>
      <c r="E180" s="32" t="s">
        <v>2338</v>
      </c>
      <c r="F180" s="33" t="s">
        <v>1131</v>
      </c>
      <c r="G180" s="40">
        <v>46158</v>
      </c>
      <c r="H180" s="35">
        <v>190400</v>
      </c>
      <c r="I180" s="36"/>
      <c r="J180" s="35">
        <f>SUM(Table1[[#This Row],[LC Value]:[Amd Value]])</f>
        <v>190400</v>
      </c>
      <c r="K180" s="36">
        <v>3.2</v>
      </c>
      <c r="L180" s="37">
        <v>11650</v>
      </c>
      <c r="M180" s="33" t="s">
        <v>1083</v>
      </c>
      <c r="N180" s="33" t="s">
        <v>2336</v>
      </c>
      <c r="O180" s="38" t="str">
        <f>IFERROR(_xlfn.XLOOKUP(C180, Data!$A$2:$A$236, Data!$C$2:$C$236), "")</f>
        <v>MD. Sir</v>
      </c>
    </row>
    <row r="181" spans="1:15" ht="42" customHeight="1" x14ac:dyDescent="0.35">
      <c r="A181" s="109">
        <f t="shared" si="1"/>
        <v>588</v>
      </c>
      <c r="B181" s="30" t="s">
        <v>2334</v>
      </c>
      <c r="C181" s="39" t="s">
        <v>199</v>
      </c>
      <c r="D181" s="29" t="s">
        <v>353</v>
      </c>
      <c r="E181" s="32" t="s">
        <v>2335</v>
      </c>
      <c r="F181" s="33" t="s">
        <v>1131</v>
      </c>
      <c r="G181" s="40">
        <v>46158</v>
      </c>
      <c r="H181" s="35">
        <v>36930</v>
      </c>
      <c r="I181" s="36"/>
      <c r="J181" s="35">
        <f>SUM(Table1[[#This Row],[LC Value]:[Amd Value]])</f>
        <v>36930</v>
      </c>
      <c r="K181" s="36">
        <v>3.2</v>
      </c>
      <c r="L181" s="37">
        <v>11650</v>
      </c>
      <c r="M181" s="33" t="s">
        <v>1083</v>
      </c>
      <c r="N181" s="33" t="s">
        <v>2336</v>
      </c>
      <c r="O181" s="38" t="str">
        <f>IFERROR(_xlfn.XLOOKUP(C181, Data!$A$2:$A$236, Data!$C$2:$C$236), "")</f>
        <v>MD. Sir</v>
      </c>
    </row>
    <row r="182" spans="1:15" ht="42" customHeight="1" x14ac:dyDescent="0.35">
      <c r="A182" s="109">
        <f t="shared" si="1"/>
        <v>587</v>
      </c>
      <c r="B182" s="30" t="s">
        <v>2329</v>
      </c>
      <c r="C182" s="39" t="s">
        <v>199</v>
      </c>
      <c r="D182" s="29" t="s">
        <v>32</v>
      </c>
      <c r="E182" s="32" t="s">
        <v>2330</v>
      </c>
      <c r="F182" s="33" t="s">
        <v>1131</v>
      </c>
      <c r="G182" s="40">
        <v>46158</v>
      </c>
      <c r="H182" s="35">
        <v>19210</v>
      </c>
      <c r="I182" s="36"/>
      <c r="J182" s="35">
        <f>SUM(Table1[[#This Row],[LC Value]:[Amd Value]])</f>
        <v>19210</v>
      </c>
      <c r="K182" s="36">
        <v>3.4</v>
      </c>
      <c r="L182" s="37">
        <v>5650</v>
      </c>
      <c r="M182" s="33" t="s">
        <v>1485</v>
      </c>
      <c r="N182" s="33" t="s">
        <v>1605</v>
      </c>
      <c r="O182" s="38" t="str">
        <f>IFERROR(_xlfn.XLOOKUP(C182, Data!$A$2:$A$236, Data!$C$2:$C$236), "")</f>
        <v>MD. Sir</v>
      </c>
    </row>
    <row r="183" spans="1:15" ht="42" customHeight="1" x14ac:dyDescent="0.35">
      <c r="A183" s="109">
        <f t="shared" si="1"/>
        <v>586</v>
      </c>
      <c r="B183" s="30" t="s">
        <v>2325</v>
      </c>
      <c r="C183" s="39" t="s">
        <v>30</v>
      </c>
      <c r="D183" s="29" t="s">
        <v>482</v>
      </c>
      <c r="E183" s="32" t="s">
        <v>2326</v>
      </c>
      <c r="F183" s="33" t="s">
        <v>1698</v>
      </c>
      <c r="G183" s="40">
        <v>46162</v>
      </c>
      <c r="H183" s="35">
        <v>22385</v>
      </c>
      <c r="I183" s="36"/>
      <c r="J183" s="35">
        <f>SUM(Table1[[#This Row],[LC Value]:[Amd Value]])</f>
        <v>22385</v>
      </c>
      <c r="K183" s="36">
        <v>3.7</v>
      </c>
      <c r="L183" s="37">
        <v>6050</v>
      </c>
      <c r="M183" s="33" t="s">
        <v>1485</v>
      </c>
      <c r="N183" s="33" t="s">
        <v>1605</v>
      </c>
      <c r="O183" s="38" t="str">
        <f>IFERROR(_xlfn.XLOOKUP(C183, Data!$A$2:$A$236, Data!$C$2:$C$236), "")</f>
        <v>Director Sir</v>
      </c>
    </row>
    <row r="184" spans="1:15" ht="42" customHeight="1" x14ac:dyDescent="0.35">
      <c r="A184" s="41">
        <f t="shared" si="1"/>
        <v>585</v>
      </c>
      <c r="B184" s="30" t="s">
        <v>2321</v>
      </c>
      <c r="C184" s="39" t="s">
        <v>77</v>
      </c>
      <c r="D184" s="29" t="s">
        <v>91</v>
      </c>
      <c r="E184" s="32" t="s">
        <v>2322</v>
      </c>
      <c r="F184" s="33" t="s">
        <v>1698</v>
      </c>
      <c r="G184" s="40">
        <v>46151</v>
      </c>
      <c r="H184" s="35">
        <v>12810</v>
      </c>
      <c r="I184" s="36"/>
      <c r="J184" s="35">
        <f>SUM(Table1[[#This Row],[LC Value]:[Amd Value]])</f>
        <v>12810</v>
      </c>
      <c r="K184" s="36">
        <v>3.55</v>
      </c>
      <c r="L184" s="37">
        <v>3600</v>
      </c>
      <c r="M184" s="33" t="s">
        <v>2324</v>
      </c>
      <c r="N184" s="33" t="s">
        <v>2323</v>
      </c>
      <c r="O184" s="38" t="str">
        <f>IFERROR(_xlfn.XLOOKUP(C184, Data!$A$2:$A$236, Data!$C$2:$C$236), "")</f>
        <v>Mr. Lipu Sir</v>
      </c>
    </row>
    <row r="185" spans="1:15" ht="42" customHeight="1" x14ac:dyDescent="0.35">
      <c r="A185" s="41">
        <f t="shared" si="1"/>
        <v>584</v>
      </c>
      <c r="B185" s="30" t="s">
        <v>2315</v>
      </c>
      <c r="C185" s="39" t="s">
        <v>46</v>
      </c>
      <c r="D185" s="29" t="s">
        <v>47</v>
      </c>
      <c r="E185" s="32" t="s">
        <v>2316</v>
      </c>
      <c r="F185" s="33" t="s">
        <v>1698</v>
      </c>
      <c r="G185" s="40">
        <v>46158</v>
      </c>
      <c r="H185" s="35">
        <v>20405</v>
      </c>
      <c r="I185" s="36"/>
      <c r="J185" s="35">
        <f>SUM(Table1[[#This Row],[LC Value]:[Amd Value]])</f>
        <v>20405</v>
      </c>
      <c r="K185" s="36">
        <v>3.45</v>
      </c>
      <c r="L185" s="37">
        <v>5800</v>
      </c>
      <c r="M185" s="33" t="s">
        <v>1605</v>
      </c>
      <c r="N185" s="33" t="s">
        <v>1560</v>
      </c>
      <c r="O185" s="38" t="str">
        <f>IFERROR(_xlfn.XLOOKUP(C185, Data!$A$2:$A$236, Data!$C$2:$C$236), "")</f>
        <v>Mr. Wadud Sir</v>
      </c>
    </row>
    <row r="186" spans="1:15" ht="42" customHeight="1" x14ac:dyDescent="0.35">
      <c r="A186" s="41">
        <f t="shared" si="1"/>
        <v>583</v>
      </c>
      <c r="B186" s="30" t="s">
        <v>2310</v>
      </c>
      <c r="C186" s="39" t="s">
        <v>2267</v>
      </c>
      <c r="D186" s="29" t="s">
        <v>2312</v>
      </c>
      <c r="E186" s="32" t="s">
        <v>2313</v>
      </c>
      <c r="F186" s="33" t="s">
        <v>1698</v>
      </c>
      <c r="G186" s="40">
        <v>46149</v>
      </c>
      <c r="H186" s="35">
        <v>111660</v>
      </c>
      <c r="I186" s="36"/>
      <c r="J186" s="35">
        <f>SUM(Table1[[#This Row],[LC Value]:[Amd Value]])</f>
        <v>111660</v>
      </c>
      <c r="K186" s="36">
        <v>3.75</v>
      </c>
      <c r="L186" s="37">
        <v>29400</v>
      </c>
      <c r="M186" s="33" t="s">
        <v>1457</v>
      </c>
      <c r="N186" s="33" t="s">
        <v>1398</v>
      </c>
      <c r="O186" s="38" t="str">
        <f>IFERROR(_xlfn.XLOOKUP(C186, Data!$A$2:$A$236, Data!$C$2:$C$236), "")</f>
        <v>Mr. Lipu Sir</v>
      </c>
    </row>
    <row r="187" spans="1:15" ht="42" customHeight="1" x14ac:dyDescent="0.35">
      <c r="A187" s="41">
        <f t="shared" si="1"/>
        <v>582</v>
      </c>
      <c r="B187" s="30" t="s">
        <v>2304</v>
      </c>
      <c r="C187" s="39" t="s">
        <v>94</v>
      </c>
      <c r="D187" s="29" t="s">
        <v>2305</v>
      </c>
      <c r="E187" s="32" t="s">
        <v>2306</v>
      </c>
      <c r="F187" s="33" t="s">
        <v>1698</v>
      </c>
      <c r="G187" s="40">
        <v>46155</v>
      </c>
      <c r="H187" s="35">
        <v>146250</v>
      </c>
      <c r="I187" s="36"/>
      <c r="J187" s="35">
        <f>SUM(Table1[[#This Row],[LC Value]:[Amd Value]])</f>
        <v>146250</v>
      </c>
      <c r="K187" s="36">
        <v>3.75</v>
      </c>
      <c r="L187" s="37">
        <v>39000</v>
      </c>
      <c r="M187" s="33" t="s">
        <v>2309</v>
      </c>
      <c r="N187" s="33" t="s">
        <v>2308</v>
      </c>
      <c r="O187" s="38" t="str">
        <f>IFERROR(_xlfn.XLOOKUP(C187, Data!$A$2:$A$236, Data!$C$2:$C$236), "")</f>
        <v>Mr. Amran Sir</v>
      </c>
    </row>
    <row r="188" spans="1:15" ht="42" customHeight="1" x14ac:dyDescent="0.35">
      <c r="A188" s="41">
        <f t="shared" si="1"/>
        <v>581</v>
      </c>
      <c r="B188" s="30" t="s">
        <v>2302</v>
      </c>
      <c r="C188" s="39" t="s">
        <v>141</v>
      </c>
      <c r="D188" s="29" t="s">
        <v>2176</v>
      </c>
      <c r="E188" s="32" t="s">
        <v>2303</v>
      </c>
      <c r="F188" s="33" t="s">
        <v>1095</v>
      </c>
      <c r="G188" s="40">
        <v>46155</v>
      </c>
      <c r="H188" s="35">
        <v>129580</v>
      </c>
      <c r="I188" s="36"/>
      <c r="J188" s="35">
        <f>SUM(Table1[[#This Row],[LC Value]:[Amd Value]])</f>
        <v>129580</v>
      </c>
      <c r="K188" s="36">
        <v>3.8</v>
      </c>
      <c r="L188" s="37">
        <v>34100</v>
      </c>
      <c r="M188" s="33" t="s">
        <v>1605</v>
      </c>
      <c r="N188" s="33" t="s">
        <v>1658</v>
      </c>
      <c r="O188" s="38" t="str">
        <f>IFERROR(_xlfn.XLOOKUP(C188, Data!$A$2:$A$236, Data!$C$2:$C$236), "")</f>
        <v>Mr. Reza Sir</v>
      </c>
    </row>
    <row r="189" spans="1:15" ht="42" customHeight="1" x14ac:dyDescent="0.35">
      <c r="A189" s="41">
        <f t="shared" si="1"/>
        <v>580</v>
      </c>
      <c r="B189" s="30" t="s">
        <v>2300</v>
      </c>
      <c r="C189" s="39" t="s">
        <v>141</v>
      </c>
      <c r="D189" s="29" t="s">
        <v>2176</v>
      </c>
      <c r="E189" s="32" t="s">
        <v>2301</v>
      </c>
      <c r="F189" s="33" t="s">
        <v>1095</v>
      </c>
      <c r="G189" s="40">
        <v>46155</v>
      </c>
      <c r="H189" s="35">
        <v>171600</v>
      </c>
      <c r="I189" s="36"/>
      <c r="J189" s="35">
        <f>SUM(Table1[[#This Row],[LC Value]:[Amd Value]])</f>
        <v>171600</v>
      </c>
      <c r="K189" s="36">
        <v>3.8</v>
      </c>
      <c r="L189" s="37">
        <v>45000</v>
      </c>
      <c r="M189" s="33" t="s">
        <v>1605</v>
      </c>
      <c r="N189" s="33" t="s">
        <v>1560</v>
      </c>
      <c r="O189" s="38" t="str">
        <f>IFERROR(_xlfn.XLOOKUP(C189, Data!$A$2:$A$236, Data!$C$2:$C$236), "")</f>
        <v>Mr. Reza Sir</v>
      </c>
    </row>
    <row r="190" spans="1:15" ht="42" customHeight="1" x14ac:dyDescent="0.35">
      <c r="A190" s="41">
        <f t="shared" si="1"/>
        <v>579</v>
      </c>
      <c r="B190" s="30" t="s">
        <v>2297</v>
      </c>
      <c r="C190" s="39" t="s">
        <v>92</v>
      </c>
      <c r="D190" s="29" t="s">
        <v>266</v>
      </c>
      <c r="E190" s="32" t="s">
        <v>2298</v>
      </c>
      <c r="F190" s="33" t="s">
        <v>1095</v>
      </c>
      <c r="G190" s="40">
        <v>46149</v>
      </c>
      <c r="H190" s="35">
        <v>10312.5</v>
      </c>
      <c r="I190" s="36"/>
      <c r="J190" s="35">
        <f>SUM(Table1[[#This Row],[LC Value]:[Amd Value]])</f>
        <v>10312.5</v>
      </c>
      <c r="K190" s="36">
        <v>4.05</v>
      </c>
      <c r="L190" s="37">
        <v>1400</v>
      </c>
      <c r="M190" s="33" t="s">
        <v>1605</v>
      </c>
      <c r="N190" s="33" t="s">
        <v>1560</v>
      </c>
      <c r="O190" s="38" t="str">
        <f>IFERROR(_xlfn.XLOOKUP(C190, Data!$A$2:$A$236, Data!$C$2:$C$236), "")</f>
        <v>Mr. Lipu Sir</v>
      </c>
    </row>
    <row r="191" spans="1:15" ht="42" customHeight="1" x14ac:dyDescent="0.35">
      <c r="A191" s="41">
        <f t="shared" si="1"/>
        <v>578</v>
      </c>
      <c r="B191" s="30" t="s">
        <v>2295</v>
      </c>
      <c r="C191" s="31" t="s">
        <v>247</v>
      </c>
      <c r="D191" s="29" t="s">
        <v>1631</v>
      </c>
      <c r="E191" s="32" t="s">
        <v>2296</v>
      </c>
      <c r="F191" s="33" t="s">
        <v>2284</v>
      </c>
      <c r="G191" s="34">
        <v>46149</v>
      </c>
      <c r="H191" s="35">
        <v>6055</v>
      </c>
      <c r="I191" s="36"/>
      <c r="J191" s="35">
        <f>SUM(Table1[[#This Row],[LC Value]:[Amd Value]])</f>
        <v>6055</v>
      </c>
      <c r="K191" s="36">
        <v>4.05</v>
      </c>
      <c r="L191" s="37">
        <v>1400</v>
      </c>
      <c r="M191" s="33" t="s">
        <v>1605</v>
      </c>
      <c r="N191" s="33" t="s">
        <v>1560</v>
      </c>
      <c r="O191" s="38" t="str">
        <f>IFERROR(_xlfn.XLOOKUP(C191, Data!$A$2:$A$236, Data!$C$2:$C$236), "")</f>
        <v>Mr. Lipu Sir</v>
      </c>
    </row>
    <row r="192" spans="1:15" ht="42" customHeight="1" x14ac:dyDescent="0.35">
      <c r="A192" s="41">
        <f t="shared" si="1"/>
        <v>577</v>
      </c>
      <c r="B192" s="30" t="s">
        <v>2291</v>
      </c>
      <c r="C192" s="39" t="s">
        <v>595</v>
      </c>
      <c r="D192" s="29" t="s">
        <v>2294</v>
      </c>
      <c r="E192" s="32" t="s">
        <v>2292</v>
      </c>
      <c r="F192" s="33" t="s">
        <v>2284</v>
      </c>
      <c r="G192" s="40">
        <v>46153</v>
      </c>
      <c r="H192" s="35">
        <v>73255</v>
      </c>
      <c r="I192" s="36"/>
      <c r="J192" s="35">
        <f>SUM(Table1[[#This Row],[LC Value]:[Amd Value]])</f>
        <v>73255</v>
      </c>
      <c r="K192" s="36">
        <v>4.05</v>
      </c>
      <c r="L192" s="37">
        <v>17850</v>
      </c>
      <c r="M192" s="33" t="s">
        <v>1605</v>
      </c>
      <c r="N192" s="33" t="s">
        <v>1560</v>
      </c>
      <c r="O192" s="38" t="str">
        <f>IFERROR(_xlfn.XLOOKUP(C192, Data!$A$2:$A$236, Data!$C$2:$C$236), "")</f>
        <v>MD. Sir</v>
      </c>
    </row>
    <row r="193" spans="1:15" ht="42" customHeight="1" x14ac:dyDescent="0.35">
      <c r="A193" s="41">
        <f t="shared" si="1"/>
        <v>576</v>
      </c>
      <c r="B193" s="30" t="s">
        <v>2289</v>
      </c>
      <c r="C193" s="39" t="s">
        <v>200</v>
      </c>
      <c r="D193" s="29" t="s">
        <v>32</v>
      </c>
      <c r="E193" s="32" t="s">
        <v>2290</v>
      </c>
      <c r="F193" s="33" t="s">
        <v>2284</v>
      </c>
      <c r="G193" s="40">
        <v>46149</v>
      </c>
      <c r="H193" s="35">
        <v>16312.5</v>
      </c>
      <c r="I193" s="36">
        <v>7500</v>
      </c>
      <c r="J193" s="35">
        <f>SUM(Table1[[#This Row],[LC Value]:[Amd Value]])</f>
        <v>23812.5</v>
      </c>
      <c r="K193" s="36">
        <v>3.75</v>
      </c>
      <c r="L193" s="37">
        <v>4350</v>
      </c>
      <c r="M193" s="33" t="s">
        <v>1605</v>
      </c>
      <c r="N193" s="33" t="s">
        <v>1560</v>
      </c>
      <c r="O193" s="38" t="str">
        <f>IFERROR(_xlfn.XLOOKUP(C193, Data!$A$2:$A$236, Data!$C$2:$C$236), "")</f>
        <v>MD. Sir</v>
      </c>
    </row>
    <row r="194" spans="1:15" ht="42" customHeight="1" x14ac:dyDescent="0.35">
      <c r="A194" s="41">
        <f t="shared" si="1"/>
        <v>575</v>
      </c>
      <c r="B194" s="30" t="s">
        <v>2287</v>
      </c>
      <c r="C194" s="39" t="s">
        <v>199</v>
      </c>
      <c r="D194" s="29" t="s">
        <v>32</v>
      </c>
      <c r="E194" s="32" t="s">
        <v>2288</v>
      </c>
      <c r="F194" s="33" t="s">
        <v>2284</v>
      </c>
      <c r="G194" s="40">
        <v>46149</v>
      </c>
      <c r="H194" s="35">
        <v>24210</v>
      </c>
      <c r="I194" s="36"/>
      <c r="J194" s="35">
        <f>SUM(Table1[[#This Row],[LC Value]:[Amd Value]])</f>
        <v>24210</v>
      </c>
      <c r="K194" s="36">
        <v>3.45</v>
      </c>
      <c r="L194" s="37">
        <v>6900</v>
      </c>
      <c r="M194" s="33" t="s">
        <v>1605</v>
      </c>
      <c r="N194" s="33" t="s">
        <v>1560</v>
      </c>
      <c r="O194" s="38" t="str">
        <f>IFERROR(_xlfn.XLOOKUP(C194, Data!$A$2:$A$236, Data!$C$2:$C$236), "")</f>
        <v>MD. Sir</v>
      </c>
    </row>
    <row r="195" spans="1:15" ht="42" customHeight="1" x14ac:dyDescent="0.35">
      <c r="A195" s="41">
        <f t="shared" si="1"/>
        <v>574</v>
      </c>
      <c r="B195" s="30" t="s">
        <v>2285</v>
      </c>
      <c r="C195" s="39" t="s">
        <v>199</v>
      </c>
      <c r="D195" s="29" t="s">
        <v>32</v>
      </c>
      <c r="E195" s="32" t="s">
        <v>2286</v>
      </c>
      <c r="F195" s="33" t="s">
        <v>2284</v>
      </c>
      <c r="G195" s="40">
        <v>46149</v>
      </c>
      <c r="H195" s="35">
        <f>10037.5+10920</f>
        <v>20957.5</v>
      </c>
      <c r="I195" s="36"/>
      <c r="J195" s="35">
        <f>SUM(Table1[[#This Row],[LC Value]:[Amd Value]])</f>
        <v>20957.5</v>
      </c>
      <c r="K195" s="36">
        <v>2.75</v>
      </c>
      <c r="L195" s="37">
        <v>7850</v>
      </c>
      <c r="M195" s="33" t="s">
        <v>1605</v>
      </c>
      <c r="N195" s="33" t="s">
        <v>1560</v>
      </c>
      <c r="O195" s="38" t="str">
        <f>IFERROR(_xlfn.XLOOKUP(C195, Data!$A$2:$A$236, Data!$C$2:$C$236), "")</f>
        <v>MD. Sir</v>
      </c>
    </row>
    <row r="196" spans="1:15" ht="42" customHeight="1" x14ac:dyDescent="0.35">
      <c r="A196" s="41">
        <f t="shared" si="1"/>
        <v>573</v>
      </c>
      <c r="B196" s="30" t="s">
        <v>2280</v>
      </c>
      <c r="C196" s="31" t="s">
        <v>259</v>
      </c>
      <c r="D196" s="29" t="s">
        <v>83</v>
      </c>
      <c r="E196" s="138" t="s">
        <v>2281</v>
      </c>
      <c r="F196" s="33" t="s">
        <v>1263</v>
      </c>
      <c r="G196" s="34">
        <v>46148</v>
      </c>
      <c r="H196" s="35">
        <v>2210</v>
      </c>
      <c r="I196" s="36"/>
      <c r="J196" s="35">
        <f>SUM(Table1[[#This Row],[LC Value]:[Amd Value]])</f>
        <v>2210</v>
      </c>
      <c r="K196" s="36">
        <v>3.4</v>
      </c>
      <c r="L196" s="37">
        <v>650</v>
      </c>
      <c r="M196" s="33" t="s">
        <v>1605</v>
      </c>
      <c r="N196" s="33" t="s">
        <v>1560</v>
      </c>
      <c r="O196" s="38" t="str">
        <f>IFERROR(_xlfn.XLOOKUP(C196, Data!$A$2:$A$236, Data!$C$2:$C$236), "")</f>
        <v>Mr. Wadud Sir</v>
      </c>
    </row>
    <row r="197" spans="1:15" ht="42" customHeight="1" x14ac:dyDescent="0.35">
      <c r="A197" s="41">
        <f t="shared" si="1"/>
        <v>572</v>
      </c>
      <c r="B197" s="30" t="s">
        <v>2265</v>
      </c>
      <c r="C197" s="39" t="s">
        <v>199</v>
      </c>
      <c r="D197" s="29" t="s">
        <v>98</v>
      </c>
      <c r="E197" s="32" t="s">
        <v>2266</v>
      </c>
      <c r="F197" s="33" t="s">
        <v>1263</v>
      </c>
      <c r="G197" s="40">
        <v>46149</v>
      </c>
      <c r="H197" s="35">
        <v>145515</v>
      </c>
      <c r="I197" s="36"/>
      <c r="J197" s="35">
        <f>SUM(Table1[[#This Row],[LC Value]:[Amd Value]])</f>
        <v>145515</v>
      </c>
      <c r="K197" s="36">
        <v>2.95</v>
      </c>
      <c r="L197" s="37">
        <v>49050</v>
      </c>
      <c r="M197" s="33" t="s">
        <v>1605</v>
      </c>
      <c r="N197" s="33" t="s">
        <v>1560</v>
      </c>
      <c r="O197" s="38" t="str">
        <f>IFERROR(_xlfn.XLOOKUP(C197, Data!$A$2:$A$236, Data!$C$2:$C$236), "")</f>
        <v>MD. Sir</v>
      </c>
    </row>
    <row r="198" spans="1:15" ht="42" customHeight="1" x14ac:dyDescent="0.35">
      <c r="A198" s="41">
        <f t="shared" si="1"/>
        <v>571</v>
      </c>
      <c r="B198" s="30" t="s">
        <v>2263</v>
      </c>
      <c r="C198" s="39" t="s">
        <v>199</v>
      </c>
      <c r="D198" s="29" t="s">
        <v>98</v>
      </c>
      <c r="E198" s="32" t="s">
        <v>2264</v>
      </c>
      <c r="F198" s="33" t="s">
        <v>1263</v>
      </c>
      <c r="G198" s="40">
        <v>46149</v>
      </c>
      <c r="H198" s="35">
        <v>125715</v>
      </c>
      <c r="I198" s="36"/>
      <c r="J198" s="35">
        <f>SUM(Table1[[#This Row],[LC Value]:[Amd Value]])</f>
        <v>125715</v>
      </c>
      <c r="K198" s="36">
        <v>2.9</v>
      </c>
      <c r="L198" s="37">
        <v>43350</v>
      </c>
      <c r="M198" s="33" t="s">
        <v>1605</v>
      </c>
      <c r="N198" s="33" t="s">
        <v>1560</v>
      </c>
      <c r="O198" s="38" t="str">
        <f>IFERROR(_xlfn.XLOOKUP(C198, Data!$A$2:$A$236, Data!$C$2:$C$236), "")</f>
        <v>MD. Sir</v>
      </c>
    </row>
    <row r="199" spans="1:15" ht="42" customHeight="1" x14ac:dyDescent="0.35">
      <c r="A199" s="41">
        <f t="shared" si="1"/>
        <v>570</v>
      </c>
      <c r="B199" s="30" t="s">
        <v>2255</v>
      </c>
      <c r="C199" s="39" t="s">
        <v>201</v>
      </c>
      <c r="D199" s="29" t="s">
        <v>21</v>
      </c>
      <c r="E199" s="32" t="s">
        <v>2256</v>
      </c>
      <c r="F199" s="33" t="s">
        <v>1095</v>
      </c>
      <c r="G199" s="40">
        <v>46147</v>
      </c>
      <c r="H199" s="35">
        <v>16000</v>
      </c>
      <c r="I199" s="36"/>
      <c r="J199" s="35">
        <f>SUM(Table1[[#This Row],[LC Value]:[Amd Value]])</f>
        <v>16000</v>
      </c>
      <c r="K199" s="36">
        <v>4</v>
      </c>
      <c r="L199" s="37">
        <v>4000</v>
      </c>
      <c r="M199" s="33" t="s">
        <v>1605</v>
      </c>
      <c r="N199" s="33" t="s">
        <v>1560</v>
      </c>
      <c r="O199" s="38" t="str">
        <f>IFERROR(_xlfn.XLOOKUP(C199, Data!$A$2:$A$236, Data!$C$2:$C$236), "")</f>
        <v>Director Sir</v>
      </c>
    </row>
    <row r="200" spans="1:15" ht="42" customHeight="1" x14ac:dyDescent="0.35">
      <c r="A200" s="41">
        <f t="shared" si="1"/>
        <v>569</v>
      </c>
      <c r="B200" s="30" t="s">
        <v>2253</v>
      </c>
      <c r="C200" s="39" t="s">
        <v>199</v>
      </c>
      <c r="D200" s="29" t="s">
        <v>32</v>
      </c>
      <c r="E200" s="32" t="s">
        <v>2254</v>
      </c>
      <c r="F200" s="33" t="s">
        <v>1095</v>
      </c>
      <c r="G200" s="40">
        <v>46149</v>
      </c>
      <c r="H200" s="35">
        <v>11040</v>
      </c>
      <c r="I200" s="36"/>
      <c r="J200" s="35">
        <f>SUM(Table1[[#This Row],[LC Value]:[Amd Value]])</f>
        <v>11040</v>
      </c>
      <c r="K200" s="36">
        <v>3.2</v>
      </c>
      <c r="L200" s="37">
        <v>3450</v>
      </c>
      <c r="M200" s="33" t="s">
        <v>1605</v>
      </c>
      <c r="N200" s="33" t="s">
        <v>1560</v>
      </c>
      <c r="O200" s="38" t="str">
        <f>IFERROR(_xlfn.XLOOKUP(C200, Data!$A$2:$A$236, Data!$C$2:$C$236), "")</f>
        <v>MD. Sir</v>
      </c>
    </row>
    <row r="201" spans="1:15" ht="42" customHeight="1" x14ac:dyDescent="0.35">
      <c r="A201" s="41">
        <f t="shared" si="1"/>
        <v>568</v>
      </c>
      <c r="B201" s="30" t="s">
        <v>2249</v>
      </c>
      <c r="C201" s="39" t="s">
        <v>201</v>
      </c>
      <c r="D201" s="29" t="s">
        <v>96</v>
      </c>
      <c r="E201" s="32" t="s">
        <v>2250</v>
      </c>
      <c r="F201" s="33" t="s">
        <v>1010</v>
      </c>
      <c r="G201" s="40">
        <v>46147</v>
      </c>
      <c r="H201" s="35">
        <f>28050+16200</f>
        <v>44250</v>
      </c>
      <c r="I201" s="36"/>
      <c r="J201" s="35">
        <f>SUM(Table1[[#This Row],[LC Value]:[Amd Value]])</f>
        <v>44250</v>
      </c>
      <c r="K201" s="36">
        <v>4</v>
      </c>
      <c r="L201" s="37">
        <v>11000</v>
      </c>
      <c r="M201" s="33" t="s">
        <v>1605</v>
      </c>
      <c r="N201" s="33" t="s">
        <v>1560</v>
      </c>
      <c r="O201" s="38" t="str">
        <f>IFERROR(_xlfn.XLOOKUP(C201, Data!$A$2:$A$236, Data!$C$2:$C$236), "")</f>
        <v>Director Sir</v>
      </c>
    </row>
    <row r="202" spans="1:15" ht="42" customHeight="1" x14ac:dyDescent="0.35">
      <c r="A202" s="41">
        <f t="shared" si="1"/>
        <v>567</v>
      </c>
      <c r="B202" s="30" t="s">
        <v>2246</v>
      </c>
      <c r="C202" s="39" t="s">
        <v>2247</v>
      </c>
      <c r="D202" s="29" t="s">
        <v>45</v>
      </c>
      <c r="E202" s="32" t="s">
        <v>2248</v>
      </c>
      <c r="F202" s="33">
        <v>46145</v>
      </c>
      <c r="G202" s="40">
        <v>46148</v>
      </c>
      <c r="H202" s="35">
        <v>9017.5</v>
      </c>
      <c r="I202" s="36"/>
      <c r="J202" s="35">
        <f>SUM(Table1[[#This Row],[LC Value]:[Amd Value]])</f>
        <v>9017.5</v>
      </c>
      <c r="K202" s="36">
        <v>2.7</v>
      </c>
      <c r="L202" s="37">
        <v>2050</v>
      </c>
      <c r="M202" s="33" t="s">
        <v>1605</v>
      </c>
      <c r="N202" s="33" t="s">
        <v>1560</v>
      </c>
      <c r="O202" s="38" t="str">
        <f>IFERROR(_xlfn.XLOOKUP(C202, Data!$A$2:$A$236, Data!$C$2:$C$236), "")</f>
        <v>Mr. Sohel Sir</v>
      </c>
    </row>
    <row r="203" spans="1:15" ht="42" customHeight="1" x14ac:dyDescent="0.35">
      <c r="A203" s="41">
        <f t="shared" si="1"/>
        <v>566</v>
      </c>
      <c r="B203" s="30" t="s">
        <v>2241</v>
      </c>
      <c r="C203" s="39" t="s">
        <v>199</v>
      </c>
      <c r="D203" s="29" t="s">
        <v>353</v>
      </c>
      <c r="E203" s="32" t="s">
        <v>2242</v>
      </c>
      <c r="F203" s="33" t="s">
        <v>1475</v>
      </c>
      <c r="G203" s="40">
        <v>46148</v>
      </c>
      <c r="H203" s="35">
        <v>59940</v>
      </c>
      <c r="I203" s="36"/>
      <c r="J203" s="35">
        <f>SUM(Table1[[#This Row],[LC Value]:[Amd Value]])</f>
        <v>59940</v>
      </c>
      <c r="K203" s="36">
        <v>2.7</v>
      </c>
      <c r="L203" s="37">
        <v>22200</v>
      </c>
      <c r="M203" s="33" t="s">
        <v>1082</v>
      </c>
      <c r="N203" s="33" t="s">
        <v>1083</v>
      </c>
      <c r="O203" s="38" t="str">
        <f>IFERROR(_xlfn.XLOOKUP(C203, Data!$A$2:$A$236, Data!$C$2:$C$236), "")</f>
        <v>MD. Sir</v>
      </c>
    </row>
    <row r="204" spans="1:15" ht="42" customHeight="1" x14ac:dyDescent="0.35">
      <c r="A204" s="109">
        <f t="shared" si="1"/>
        <v>565</v>
      </c>
      <c r="B204" s="30" t="s">
        <v>2239</v>
      </c>
      <c r="C204" s="39" t="s">
        <v>199</v>
      </c>
      <c r="D204" s="29" t="s">
        <v>32</v>
      </c>
      <c r="E204" s="32" t="s">
        <v>2240</v>
      </c>
      <c r="F204" s="33" t="s">
        <v>1475</v>
      </c>
      <c r="G204" s="40">
        <v>46148</v>
      </c>
      <c r="H204" s="35">
        <v>87360</v>
      </c>
      <c r="I204" s="36"/>
      <c r="J204" s="35">
        <f>SUM(Table1[[#This Row],[LC Value]:[Amd Value]])</f>
        <v>87360</v>
      </c>
      <c r="K204" s="36">
        <v>2.8</v>
      </c>
      <c r="L204" s="37">
        <v>31200</v>
      </c>
      <c r="M204" s="33" t="s">
        <v>1082</v>
      </c>
      <c r="N204" s="33" t="s">
        <v>1083</v>
      </c>
      <c r="O204" s="38" t="str">
        <f>IFERROR(_xlfn.XLOOKUP(C204, Data!$A$2:$A$236, Data!$C$2:$C$236), "")</f>
        <v>MD. Sir</v>
      </c>
    </row>
    <row r="205" spans="1:15" ht="42" customHeight="1" x14ac:dyDescent="0.35">
      <c r="A205" s="41">
        <f t="shared" si="1"/>
        <v>564</v>
      </c>
      <c r="B205" s="30" t="s">
        <v>2237</v>
      </c>
      <c r="C205" s="39" t="s">
        <v>199</v>
      </c>
      <c r="D205" s="29" t="s">
        <v>98</v>
      </c>
      <c r="E205" s="32" t="s">
        <v>2238</v>
      </c>
      <c r="F205" s="33" t="s">
        <v>1475</v>
      </c>
      <c r="G205" s="40">
        <v>46149</v>
      </c>
      <c r="H205" s="35">
        <v>206942.5</v>
      </c>
      <c r="I205" s="36"/>
      <c r="J205" s="35">
        <f>SUM(Table1[[#This Row],[LC Value]:[Amd Value]])</f>
        <v>206942.5</v>
      </c>
      <c r="K205" s="36">
        <v>3.05</v>
      </c>
      <c r="L205" s="37">
        <v>67850</v>
      </c>
      <c r="M205" s="33" t="s">
        <v>1082</v>
      </c>
      <c r="N205" s="33" t="s">
        <v>1083</v>
      </c>
      <c r="O205" s="38" t="str">
        <f>IFERROR(_xlfn.XLOOKUP(C205, Data!$A$2:$A$236, Data!$C$2:$C$236), "")</f>
        <v>MD. Sir</v>
      </c>
    </row>
    <row r="206" spans="1:15" ht="42" customHeight="1" x14ac:dyDescent="0.35">
      <c r="A206" s="41">
        <f t="shared" si="1"/>
        <v>563</v>
      </c>
      <c r="B206" s="30" t="s">
        <v>2235</v>
      </c>
      <c r="C206" s="39" t="s">
        <v>293</v>
      </c>
      <c r="D206" s="29" t="s">
        <v>294</v>
      </c>
      <c r="E206" s="32" t="s">
        <v>2236</v>
      </c>
      <c r="F206" s="33" t="s">
        <v>1475</v>
      </c>
      <c r="G206" s="40">
        <v>46148</v>
      </c>
      <c r="H206" s="35">
        <v>223750</v>
      </c>
      <c r="I206" s="36">
        <v>26850</v>
      </c>
      <c r="J206" s="35">
        <f>SUM(Table1[[#This Row],[LC Value]:[Amd Value]])</f>
        <v>250600</v>
      </c>
      <c r="K206" s="36">
        <v>8.9499999999999993</v>
      </c>
      <c r="L206" s="37">
        <v>25000</v>
      </c>
      <c r="M206" s="33" t="s">
        <v>1082</v>
      </c>
      <c r="N206" s="33" t="s">
        <v>1083</v>
      </c>
      <c r="O206" s="38" t="str">
        <f>IFERROR(_xlfn.XLOOKUP(C206, Data!$A$2:$A$236, Data!$C$2:$C$236), "")</f>
        <v>Mr. Lipu Sir</v>
      </c>
    </row>
    <row r="207" spans="1:15" ht="42" customHeight="1" x14ac:dyDescent="0.35">
      <c r="A207" s="41">
        <f t="shared" si="1"/>
        <v>562</v>
      </c>
      <c r="B207" s="30" t="s">
        <v>2227</v>
      </c>
      <c r="C207" s="39" t="s">
        <v>1361</v>
      </c>
      <c r="D207" s="29" t="s">
        <v>61</v>
      </c>
      <c r="E207" s="32" t="s">
        <v>2228</v>
      </c>
      <c r="F207" s="33" t="s">
        <v>951</v>
      </c>
      <c r="G207" s="40">
        <v>46147</v>
      </c>
      <c r="H207" s="35">
        <v>7900</v>
      </c>
      <c r="I207" s="36"/>
      <c r="J207" s="35">
        <f>SUM(Table1[[#This Row],[LC Value]:[Amd Value]])</f>
        <v>7900</v>
      </c>
      <c r="K207" s="36">
        <v>4.1500000000000004</v>
      </c>
      <c r="L207" s="37">
        <v>1900</v>
      </c>
      <c r="M207" s="33">
        <v>7900</v>
      </c>
      <c r="N207" s="33" t="s">
        <v>868</v>
      </c>
      <c r="O207" s="38" t="str">
        <f>IFERROR(_xlfn.XLOOKUP(C207, Data!$A$2:$A$236, Data!$C$2:$C$236), "")</f>
        <v>Mr. Reza Sir</v>
      </c>
    </row>
    <row r="208" spans="1:15" ht="42" customHeight="1" x14ac:dyDescent="0.35">
      <c r="A208" s="41">
        <f t="shared" si="1"/>
        <v>561</v>
      </c>
      <c r="B208" s="30" t="s">
        <v>2225</v>
      </c>
      <c r="C208" s="39" t="s">
        <v>199</v>
      </c>
      <c r="D208" s="29" t="s">
        <v>98</v>
      </c>
      <c r="E208" s="32" t="s">
        <v>2226</v>
      </c>
      <c r="F208" s="33" t="s">
        <v>1010</v>
      </c>
      <c r="G208" s="40">
        <v>46147</v>
      </c>
      <c r="H208" s="35">
        <v>381150</v>
      </c>
      <c r="I208" s="36"/>
      <c r="J208" s="35">
        <f>SUM(Table1[[#This Row],[LC Value]:[Amd Value]])</f>
        <v>381150</v>
      </c>
      <c r="K208" s="36">
        <v>3.5</v>
      </c>
      <c r="L208" s="37">
        <v>123750</v>
      </c>
      <c r="M208" s="33" t="s">
        <v>2108</v>
      </c>
      <c r="N208" s="33" t="s">
        <v>2220</v>
      </c>
      <c r="O208" s="38" t="str">
        <f>IFERROR(_xlfn.XLOOKUP(C208, Data!$A$2:$A$236, Data!$C$2:$C$236), "")</f>
        <v>MD. Sir</v>
      </c>
    </row>
    <row r="209" spans="1:15" ht="42" customHeight="1" x14ac:dyDescent="0.35">
      <c r="A209" s="41">
        <f t="shared" si="1"/>
        <v>560</v>
      </c>
      <c r="B209" s="30" t="s">
        <v>2223</v>
      </c>
      <c r="C209" s="39" t="s">
        <v>199</v>
      </c>
      <c r="D209" s="29" t="s">
        <v>98</v>
      </c>
      <c r="E209" s="32" t="s">
        <v>2224</v>
      </c>
      <c r="F209" s="33" t="s">
        <v>1010</v>
      </c>
      <c r="G209" s="40">
        <v>46147</v>
      </c>
      <c r="H209" s="35">
        <v>18725</v>
      </c>
      <c r="I209" s="36"/>
      <c r="J209" s="35">
        <f>SUM(Table1[[#This Row],[LC Value]:[Amd Value]])</f>
        <v>18725</v>
      </c>
      <c r="K209" s="36">
        <v>3.5</v>
      </c>
      <c r="L209" s="37">
        <v>9850</v>
      </c>
      <c r="M209" s="33" t="s">
        <v>2108</v>
      </c>
      <c r="N209" s="33" t="s">
        <v>2220</v>
      </c>
      <c r="O209" s="38" t="str">
        <f>IFERROR(_xlfn.XLOOKUP(C209, Data!$A$2:$A$236, Data!$C$2:$C$236), "")</f>
        <v>MD. Sir</v>
      </c>
    </row>
    <row r="210" spans="1:15" ht="42" customHeight="1" x14ac:dyDescent="0.35">
      <c r="A210" s="41">
        <f t="shared" si="1"/>
        <v>559</v>
      </c>
      <c r="B210" s="30" t="s">
        <v>2221</v>
      </c>
      <c r="C210" s="39" t="s">
        <v>199</v>
      </c>
      <c r="D210" s="29" t="s">
        <v>98</v>
      </c>
      <c r="E210" s="32" t="s">
        <v>2222</v>
      </c>
      <c r="F210" s="33" t="s">
        <v>1010</v>
      </c>
      <c r="G210" s="40">
        <v>46147</v>
      </c>
      <c r="H210" s="35">
        <v>31320</v>
      </c>
      <c r="I210" s="36"/>
      <c r="J210" s="35">
        <f>SUM(Table1[[#This Row],[LC Value]:[Amd Value]])</f>
        <v>31320</v>
      </c>
      <c r="K210" s="36">
        <v>3.2</v>
      </c>
      <c r="L210" s="37">
        <v>9850</v>
      </c>
      <c r="M210" s="33" t="s">
        <v>2108</v>
      </c>
      <c r="N210" s="33" t="s">
        <v>2220</v>
      </c>
      <c r="O210" s="38" t="str">
        <f>IFERROR(_xlfn.XLOOKUP(C210, Data!$A$2:$A$236, Data!$C$2:$C$236), "")</f>
        <v>MD. Sir</v>
      </c>
    </row>
    <row r="211" spans="1:15" ht="42" customHeight="1" x14ac:dyDescent="0.35">
      <c r="A211" s="41">
        <f t="shared" si="1"/>
        <v>558</v>
      </c>
      <c r="B211" s="30" t="s">
        <v>2216</v>
      </c>
      <c r="C211" s="39" t="s">
        <v>595</v>
      </c>
      <c r="D211" s="29" t="s">
        <v>2217</v>
      </c>
      <c r="E211" s="32" t="s">
        <v>2218</v>
      </c>
      <c r="F211" s="33" t="s">
        <v>1010</v>
      </c>
      <c r="G211" s="40">
        <v>46147</v>
      </c>
      <c r="H211" s="35">
        <v>29950</v>
      </c>
      <c r="I211" s="36"/>
      <c r="J211" s="35">
        <f>SUM(Table1[[#This Row],[LC Value]:[Amd Value]])</f>
        <v>29950</v>
      </c>
      <c r="K211" s="36">
        <v>3.9</v>
      </c>
      <c r="L211" s="37">
        <v>7500</v>
      </c>
      <c r="M211" s="33" t="s">
        <v>2108</v>
      </c>
      <c r="N211" s="33" t="s">
        <v>2220</v>
      </c>
      <c r="O211" s="38" t="str">
        <f>IFERROR(_xlfn.XLOOKUP(C211, Data!$A$2:$A$236, Data!$C$2:$C$236), "")</f>
        <v>MD. Sir</v>
      </c>
    </row>
    <row r="212" spans="1:15" ht="42" customHeight="1" x14ac:dyDescent="0.35">
      <c r="A212" s="41">
        <f t="shared" si="1"/>
        <v>557</v>
      </c>
      <c r="B212" s="30" t="s">
        <v>2212</v>
      </c>
      <c r="C212" s="39" t="s">
        <v>37</v>
      </c>
      <c r="D212" s="29" t="s">
        <v>21</v>
      </c>
      <c r="E212" s="32" t="s">
        <v>2213</v>
      </c>
      <c r="F212" s="33" t="s">
        <v>1256</v>
      </c>
      <c r="G212" s="40">
        <v>46148</v>
      </c>
      <c r="H212" s="35">
        <v>32645</v>
      </c>
      <c r="I212" s="36"/>
      <c r="J212" s="35">
        <f>SUM(Table1[[#This Row],[LC Value]:[Amd Value]])</f>
        <v>32645</v>
      </c>
      <c r="K212" s="36">
        <v>4.3499999999999996</v>
      </c>
      <c r="L212" s="37">
        <v>8200</v>
      </c>
      <c r="M212" s="33" t="s">
        <v>1996</v>
      </c>
      <c r="N212" s="33" t="s">
        <v>2125</v>
      </c>
      <c r="O212" s="38" t="str">
        <f>IFERROR(_xlfn.XLOOKUP(C212, Data!$A$2:$A$236, Data!$C$2:$C$236), "")</f>
        <v>Mr. Sohel Sir</v>
      </c>
    </row>
    <row r="213" spans="1:15" ht="42" customHeight="1" x14ac:dyDescent="0.35">
      <c r="A213" s="41">
        <f t="shared" si="1"/>
        <v>556</v>
      </c>
      <c r="B213" s="30" t="s">
        <v>2208</v>
      </c>
      <c r="C213" s="39" t="s">
        <v>199</v>
      </c>
      <c r="D213" s="29" t="s">
        <v>32</v>
      </c>
      <c r="E213" s="32" t="s">
        <v>2209</v>
      </c>
      <c r="F213" s="33" t="s">
        <v>1256</v>
      </c>
      <c r="G213" s="40">
        <v>46146</v>
      </c>
      <c r="H213" s="35">
        <v>238050</v>
      </c>
      <c r="I213" s="36"/>
      <c r="J213" s="35">
        <f>SUM(Table1[[#This Row],[LC Value]:[Amd Value]])</f>
        <v>238050</v>
      </c>
      <c r="K213" s="36">
        <v>3</v>
      </c>
      <c r="L213" s="37">
        <v>79350</v>
      </c>
      <c r="M213" s="33" t="s">
        <v>1658</v>
      </c>
      <c r="N213" s="33" t="s">
        <v>1962</v>
      </c>
      <c r="O213" s="38" t="str">
        <f>IFERROR(_xlfn.XLOOKUP(C213, Data!$A$2:$A$236, Data!$C$2:$C$236), "")</f>
        <v>MD. Sir</v>
      </c>
    </row>
    <row r="214" spans="1:15" ht="42" customHeight="1" x14ac:dyDescent="0.35">
      <c r="A214" s="41">
        <f t="shared" si="1"/>
        <v>555</v>
      </c>
      <c r="B214" s="30" t="s">
        <v>2204</v>
      </c>
      <c r="C214" s="39" t="s">
        <v>57</v>
      </c>
      <c r="D214" s="29" t="s">
        <v>98</v>
      </c>
      <c r="E214" s="32" t="s">
        <v>2205</v>
      </c>
      <c r="F214" s="33" t="s">
        <v>1256</v>
      </c>
      <c r="G214" s="40">
        <v>46146</v>
      </c>
      <c r="H214" s="35">
        <v>8712.5</v>
      </c>
      <c r="I214" s="36"/>
      <c r="J214" s="35">
        <f>SUM(Table1[[#This Row],[LC Value]:[Amd Value]])</f>
        <v>8712.5</v>
      </c>
      <c r="K214" s="36">
        <v>4.25</v>
      </c>
      <c r="L214" s="37">
        <v>2050</v>
      </c>
      <c r="M214" s="33" t="s">
        <v>1082</v>
      </c>
      <c r="N214" s="33" t="s">
        <v>1083</v>
      </c>
      <c r="O214" s="38" t="str">
        <f>IFERROR(_xlfn.XLOOKUP(C214, Data!$A$2:$A$236, Data!$C$2:$C$236), "")</f>
        <v>Mr. Reza Sir</v>
      </c>
    </row>
    <row r="215" spans="1:15" ht="42" customHeight="1" x14ac:dyDescent="0.35">
      <c r="A215" s="41">
        <f t="shared" si="1"/>
        <v>554</v>
      </c>
      <c r="B215" s="30" t="s">
        <v>2202</v>
      </c>
      <c r="C215" s="39" t="s">
        <v>78</v>
      </c>
      <c r="D215" s="29" t="s">
        <v>98</v>
      </c>
      <c r="E215" s="32" t="s">
        <v>2203</v>
      </c>
      <c r="F215" s="33" t="s">
        <v>1256</v>
      </c>
      <c r="G215" s="40">
        <v>46146</v>
      </c>
      <c r="H215" s="35">
        <v>12672.5</v>
      </c>
      <c r="I215" s="36">
        <v>152.5</v>
      </c>
      <c r="J215" s="35">
        <f>SUM(Table1[[#This Row],[LC Value]:[Amd Value]])</f>
        <v>12825</v>
      </c>
      <c r="K215" s="36">
        <v>4.1500000000000004</v>
      </c>
      <c r="L215" s="37">
        <v>3050</v>
      </c>
      <c r="M215" s="33" t="s">
        <v>869</v>
      </c>
      <c r="N215" s="33" t="s">
        <v>868</v>
      </c>
      <c r="O215" s="38" t="str">
        <f>IFERROR(_xlfn.XLOOKUP(C215, Data!$A$2:$A$236, Data!$C$2:$C$236), "")</f>
        <v>Mr. Reza Sir</v>
      </c>
    </row>
    <row r="216" spans="1:15" ht="42" customHeight="1" x14ac:dyDescent="0.35">
      <c r="A216" s="41">
        <f t="shared" si="1"/>
        <v>553</v>
      </c>
      <c r="B216" s="30" t="s">
        <v>2199</v>
      </c>
      <c r="C216" s="39" t="s">
        <v>97</v>
      </c>
      <c r="D216" s="29" t="s">
        <v>98</v>
      </c>
      <c r="E216" s="32" t="s">
        <v>2200</v>
      </c>
      <c r="F216" s="33" t="s">
        <v>2201</v>
      </c>
      <c r="G216" s="40">
        <v>46146</v>
      </c>
      <c r="H216" s="35">
        <v>17810</v>
      </c>
      <c r="I216" s="36"/>
      <c r="J216" s="35">
        <f>SUM(Table1[[#This Row],[LC Value]:[Amd Value]])</f>
        <v>17810</v>
      </c>
      <c r="K216" s="36">
        <v>4.3499999999999996</v>
      </c>
      <c r="L216" s="37">
        <v>4550</v>
      </c>
      <c r="M216" s="33" t="s">
        <v>1799</v>
      </c>
      <c r="N216" s="33" t="s">
        <v>1082</v>
      </c>
      <c r="O216" s="38" t="str">
        <f>IFERROR(_xlfn.XLOOKUP(C216, Data!$A$2:$A$236, Data!$C$2:$C$236), "")</f>
        <v>Mr. Reza Sir</v>
      </c>
    </row>
    <row r="217" spans="1:15" ht="42" customHeight="1" x14ac:dyDescent="0.35">
      <c r="A217" s="41">
        <f t="shared" si="1"/>
        <v>552</v>
      </c>
      <c r="B217" s="30" t="s">
        <v>2197</v>
      </c>
      <c r="C217" s="39" t="s">
        <v>201</v>
      </c>
      <c r="D217" s="29" t="s">
        <v>21</v>
      </c>
      <c r="E217" s="32" t="s">
        <v>2198</v>
      </c>
      <c r="F217" s="33" t="s">
        <v>1941</v>
      </c>
      <c r="G217" s="40">
        <v>46145</v>
      </c>
      <c r="H217" s="35">
        <v>156000</v>
      </c>
      <c r="I217" s="36"/>
      <c r="J217" s="35">
        <f>SUM(Table1[[#This Row],[LC Value]:[Amd Value]])</f>
        <v>156000</v>
      </c>
      <c r="K217" s="36">
        <v>4.5</v>
      </c>
      <c r="L217" s="37">
        <v>2750</v>
      </c>
      <c r="M217" s="33" t="s">
        <v>1131</v>
      </c>
      <c r="N217" s="33" t="s">
        <v>1332</v>
      </c>
      <c r="O217" s="38" t="str">
        <f>IFERROR(_xlfn.XLOOKUP(C217, Data!$A$2:$A$236, Data!$C$2:$C$236), "")</f>
        <v>Director Sir</v>
      </c>
    </row>
    <row r="218" spans="1:15" ht="42" customHeight="1" x14ac:dyDescent="0.35">
      <c r="A218" s="41">
        <f t="shared" si="1"/>
        <v>551</v>
      </c>
      <c r="B218" s="30" t="s">
        <v>2193</v>
      </c>
      <c r="C218" s="39" t="s">
        <v>200</v>
      </c>
      <c r="D218" s="29" t="s">
        <v>98</v>
      </c>
      <c r="E218" s="32" t="s">
        <v>2194</v>
      </c>
      <c r="F218" s="33" t="s">
        <v>1390</v>
      </c>
      <c r="G218" s="40">
        <v>46145</v>
      </c>
      <c r="H218" s="35">
        <v>12375</v>
      </c>
      <c r="I218" s="36"/>
      <c r="J218" s="35">
        <f>SUM(Table1[[#This Row],[LC Value]:[Amd Value]])</f>
        <v>12375</v>
      </c>
      <c r="K218" s="36">
        <v>4.5</v>
      </c>
      <c r="L218" s="37">
        <v>2750</v>
      </c>
      <c r="M218" s="33" t="s">
        <v>1131</v>
      </c>
      <c r="N218" s="33" t="s">
        <v>1332</v>
      </c>
      <c r="O218" s="38" t="str">
        <f>IFERROR(_xlfn.XLOOKUP(C218, Data!$A$2:$A$236, Data!$C$2:$C$236), "")</f>
        <v>MD. Sir</v>
      </c>
    </row>
    <row r="219" spans="1:15" ht="42" customHeight="1" x14ac:dyDescent="0.35">
      <c r="A219" s="41">
        <f t="shared" si="1"/>
        <v>550</v>
      </c>
      <c r="B219" s="30" t="s">
        <v>2189</v>
      </c>
      <c r="C219" s="39" t="s">
        <v>1058</v>
      </c>
      <c r="D219" s="29" t="s">
        <v>1061</v>
      </c>
      <c r="E219" s="32" t="s">
        <v>2190</v>
      </c>
      <c r="F219" s="33" t="s">
        <v>1390</v>
      </c>
      <c r="G219" s="40">
        <v>46141</v>
      </c>
      <c r="H219" s="35">
        <v>90000</v>
      </c>
      <c r="I219" s="36">
        <v>-9960</v>
      </c>
      <c r="J219" s="35">
        <f>SUM(Table1[[#This Row],[LC Value]:[Amd Value]])</f>
        <v>80040</v>
      </c>
      <c r="K219" s="36">
        <v>3.75</v>
      </c>
      <c r="L219" s="37">
        <v>24000</v>
      </c>
      <c r="M219" s="33" t="s">
        <v>1131</v>
      </c>
      <c r="N219" s="33" t="s">
        <v>1332</v>
      </c>
      <c r="O219" s="38" t="str">
        <f>IFERROR(_xlfn.XLOOKUP(C219, Data!$A$2:$A$236, Data!$C$2:$C$236), "")</f>
        <v>Mr. Reza Sir</v>
      </c>
    </row>
    <row r="220" spans="1:15" ht="42" customHeight="1" x14ac:dyDescent="0.35">
      <c r="A220" s="41">
        <f t="shared" si="1"/>
        <v>549</v>
      </c>
      <c r="B220" s="30" t="s">
        <v>2187</v>
      </c>
      <c r="C220" s="39" t="s">
        <v>82</v>
      </c>
      <c r="D220" s="29" t="s">
        <v>83</v>
      </c>
      <c r="E220" s="32" t="s">
        <v>2188</v>
      </c>
      <c r="F220" s="33" t="s">
        <v>2107</v>
      </c>
      <c r="G220" s="40">
        <v>46141</v>
      </c>
      <c r="H220" s="35">
        <v>16170</v>
      </c>
      <c r="I220" s="36">
        <v>490</v>
      </c>
      <c r="J220" s="35">
        <f>SUM(Table1[[#This Row],[LC Value]:[Amd Value]])</f>
        <v>16660</v>
      </c>
      <c r="K220" s="36">
        <v>3.3</v>
      </c>
      <c r="L220" s="37">
        <v>4900</v>
      </c>
      <c r="M220" s="33" t="s">
        <v>1485</v>
      </c>
      <c r="N220" s="33" t="s">
        <v>868</v>
      </c>
      <c r="O220" s="38" t="str">
        <f>IFERROR(_xlfn.XLOOKUP(C220, Data!$A$2:$A$236, Data!$C$2:$C$236), "")</f>
        <v>Mr. Sohel Sir</v>
      </c>
    </row>
    <row r="221" spans="1:15" ht="42" customHeight="1" x14ac:dyDescent="0.35">
      <c r="A221" s="41">
        <f t="shared" si="1"/>
        <v>548</v>
      </c>
      <c r="B221" s="30" t="s">
        <v>2185</v>
      </c>
      <c r="C221" s="39" t="s">
        <v>201</v>
      </c>
      <c r="D221" s="29" t="s">
        <v>21</v>
      </c>
      <c r="E221" s="32" t="s">
        <v>2186</v>
      </c>
      <c r="F221" s="33">
        <v>46140</v>
      </c>
      <c r="G221" s="40">
        <v>46145</v>
      </c>
      <c r="H221" s="35">
        <v>177500</v>
      </c>
      <c r="I221" s="36"/>
      <c r="J221" s="35">
        <f>SUM(Table1[[#This Row],[LC Value]:[Amd Value]])</f>
        <v>177500</v>
      </c>
      <c r="K221" s="36">
        <v>3.55</v>
      </c>
      <c r="L221" s="37">
        <v>50000</v>
      </c>
      <c r="M221" s="33" t="s">
        <v>2122</v>
      </c>
      <c r="N221" s="33" t="s">
        <v>1083</v>
      </c>
      <c r="O221" s="38" t="str">
        <f>IFERROR(_xlfn.XLOOKUP(C221, Data!$A$2:$A$236, Data!$C$2:$C$236), "")</f>
        <v>Director Sir</v>
      </c>
    </row>
    <row r="222" spans="1:15" ht="42" customHeight="1" x14ac:dyDescent="0.35">
      <c r="A222" s="41">
        <f t="shared" si="1"/>
        <v>547</v>
      </c>
      <c r="B222" s="30" t="s">
        <v>2183</v>
      </c>
      <c r="C222" s="39" t="s">
        <v>201</v>
      </c>
      <c r="D222" s="29" t="s">
        <v>21</v>
      </c>
      <c r="E222" s="32" t="s">
        <v>2184</v>
      </c>
      <c r="F222" s="33">
        <v>46140</v>
      </c>
      <c r="G222" s="40">
        <v>46145</v>
      </c>
      <c r="H222" s="35">
        <v>56250</v>
      </c>
      <c r="I222" s="36"/>
      <c r="J222" s="35">
        <f>SUM(Table1[[#This Row],[LC Value]:[Amd Value]])</f>
        <v>56250</v>
      </c>
      <c r="K222" s="36">
        <v>3.75</v>
      </c>
      <c r="L222" s="37">
        <v>15000</v>
      </c>
      <c r="M222" s="33" t="s">
        <v>2122</v>
      </c>
      <c r="N222" s="33" t="s">
        <v>1083</v>
      </c>
      <c r="O222" s="38" t="str">
        <f>IFERROR(_xlfn.XLOOKUP(C222, Data!$A$2:$A$236, Data!$C$2:$C$236), "")</f>
        <v>Director Sir</v>
      </c>
    </row>
    <row r="223" spans="1:15" ht="42" customHeight="1" x14ac:dyDescent="0.35">
      <c r="A223" s="41">
        <f t="shared" si="1"/>
        <v>546</v>
      </c>
      <c r="B223" s="30" t="s">
        <v>2181</v>
      </c>
      <c r="C223" s="39" t="s">
        <v>201</v>
      </c>
      <c r="D223" s="29" t="s">
        <v>21</v>
      </c>
      <c r="E223" s="32" t="s">
        <v>2182</v>
      </c>
      <c r="F223" s="33">
        <v>46140</v>
      </c>
      <c r="G223" s="40">
        <v>46146</v>
      </c>
      <c r="H223" s="35">
        <f>184600+152650</f>
        <v>337250</v>
      </c>
      <c r="I223" s="36"/>
      <c r="J223" s="35">
        <f>SUM(Table1[[#This Row],[LC Value]:[Amd Value]])</f>
        <v>337250</v>
      </c>
      <c r="K223" s="36">
        <v>3.55</v>
      </c>
      <c r="L223" s="37">
        <f>5200+43000</f>
        <v>48200</v>
      </c>
      <c r="M223" s="33" t="s">
        <v>2122</v>
      </c>
      <c r="N223" s="33" t="s">
        <v>1083</v>
      </c>
      <c r="O223" s="38" t="str">
        <f>IFERROR(_xlfn.XLOOKUP(C223, Data!$A$2:$A$236, Data!$C$2:$C$236), "")</f>
        <v>Director Sir</v>
      </c>
    </row>
    <row r="224" spans="1:15" ht="42" customHeight="1" x14ac:dyDescent="0.35">
      <c r="A224" s="41">
        <f t="shared" si="1"/>
        <v>545</v>
      </c>
      <c r="B224" s="30" t="s">
        <v>2179</v>
      </c>
      <c r="C224" s="39" t="s">
        <v>141</v>
      </c>
      <c r="D224" s="29" t="s">
        <v>2176</v>
      </c>
      <c r="E224" s="32" t="s">
        <v>2180</v>
      </c>
      <c r="F224" s="33">
        <v>46140</v>
      </c>
      <c r="G224" s="40">
        <v>46145</v>
      </c>
      <c r="H224" s="35">
        <v>24500</v>
      </c>
      <c r="I224" s="36"/>
      <c r="J224" s="35">
        <f>SUM(Table1[[#This Row],[LC Value]:[Amd Value]])</f>
        <v>24500</v>
      </c>
      <c r="K224" s="36">
        <v>3.5</v>
      </c>
      <c r="L224" s="37">
        <v>7000</v>
      </c>
      <c r="M224" s="33" t="s">
        <v>869</v>
      </c>
      <c r="N224" s="33" t="s">
        <v>1605</v>
      </c>
      <c r="O224" s="38" t="str">
        <f>IFERROR(_xlfn.XLOOKUP(C224, Data!$A$2:$A$236, Data!$C$2:$C$236), "")</f>
        <v>Mr. Reza Sir</v>
      </c>
    </row>
    <row r="225" spans="1:15" ht="42" customHeight="1" x14ac:dyDescent="0.35">
      <c r="A225" s="41">
        <f t="shared" si="1"/>
        <v>544</v>
      </c>
      <c r="B225" s="30" t="s">
        <v>2175</v>
      </c>
      <c r="C225" s="39" t="s">
        <v>141</v>
      </c>
      <c r="D225" s="29" t="s">
        <v>2176</v>
      </c>
      <c r="E225" s="32" t="s">
        <v>2177</v>
      </c>
      <c r="F225" s="33">
        <v>46140</v>
      </c>
      <c r="G225" s="40">
        <v>46145</v>
      </c>
      <c r="H225" s="35">
        <v>15552.5</v>
      </c>
      <c r="I225" s="36"/>
      <c r="J225" s="35">
        <f>SUM(Table1[[#This Row],[LC Value]:[Amd Value]])</f>
        <v>15552.5</v>
      </c>
      <c r="K225" s="36">
        <v>3.45</v>
      </c>
      <c r="L225" s="37">
        <v>4500</v>
      </c>
      <c r="M225" s="33" t="s">
        <v>869</v>
      </c>
      <c r="N225" s="33" t="s">
        <v>1605</v>
      </c>
      <c r="O225" s="38" t="str">
        <f>IFERROR(_xlfn.XLOOKUP(C225, Data!$A$2:$A$236, Data!$C$2:$C$236), "")</f>
        <v>Mr. Reza Sir</v>
      </c>
    </row>
    <row r="226" spans="1:15" ht="42" customHeight="1" x14ac:dyDescent="0.35">
      <c r="A226" s="41">
        <f t="shared" si="1"/>
        <v>543</v>
      </c>
      <c r="B226" s="30" t="s">
        <v>2173</v>
      </c>
      <c r="C226" s="39" t="s">
        <v>200</v>
      </c>
      <c r="D226" s="29" t="s">
        <v>32</v>
      </c>
      <c r="E226" s="32" t="s">
        <v>2174</v>
      </c>
      <c r="F226" s="33">
        <v>46140</v>
      </c>
      <c r="G226" s="40">
        <v>46145</v>
      </c>
      <c r="H226" s="35">
        <v>29022.5</v>
      </c>
      <c r="I226" s="36"/>
      <c r="J226" s="35">
        <f>SUM(Table1[[#This Row],[LC Value]:[Amd Value]])</f>
        <v>29022.5</v>
      </c>
      <c r="K226" s="36">
        <v>4.25</v>
      </c>
      <c r="L226" s="37">
        <v>6700</v>
      </c>
      <c r="M226" s="33" t="s">
        <v>1172</v>
      </c>
      <c r="N226" s="33" t="s">
        <v>1485</v>
      </c>
      <c r="O226" s="38" t="str">
        <f>IFERROR(_xlfn.XLOOKUP(C226, Data!$A$2:$A$236, Data!$C$2:$C$236), "")</f>
        <v>MD. Sir</v>
      </c>
    </row>
    <row r="227" spans="1:15" ht="42" customHeight="1" x14ac:dyDescent="0.35">
      <c r="A227" s="41">
        <f t="shared" si="1"/>
        <v>542</v>
      </c>
      <c r="B227" s="30" t="s">
        <v>2171</v>
      </c>
      <c r="C227" s="39" t="s">
        <v>200</v>
      </c>
      <c r="D227" s="29" t="s">
        <v>32</v>
      </c>
      <c r="E227" s="32" t="s">
        <v>2172</v>
      </c>
      <c r="F227" s="33">
        <v>46140</v>
      </c>
      <c r="G227" s="40">
        <v>46145</v>
      </c>
      <c r="H227" s="35">
        <v>37962.5</v>
      </c>
      <c r="I227" s="36"/>
      <c r="J227" s="35">
        <f>SUM(Table1[[#This Row],[LC Value]:[Amd Value]])</f>
        <v>37962.5</v>
      </c>
      <c r="K227" s="36">
        <v>9</v>
      </c>
      <c r="L227" s="37">
        <v>8550</v>
      </c>
      <c r="M227" s="33" t="s">
        <v>1172</v>
      </c>
      <c r="N227" s="33" t="s">
        <v>1485</v>
      </c>
      <c r="O227" s="38" t="str">
        <f>IFERROR(_xlfn.XLOOKUP(C227, Data!$A$2:$A$236, Data!$C$2:$C$236), "")</f>
        <v>MD. Sir</v>
      </c>
    </row>
    <row r="228" spans="1:15" ht="42" customHeight="1" x14ac:dyDescent="0.35">
      <c r="A228" s="41">
        <f t="shared" si="1"/>
        <v>541</v>
      </c>
      <c r="B228" s="30" t="s">
        <v>2169</v>
      </c>
      <c r="C228" s="39" t="s">
        <v>200</v>
      </c>
      <c r="D228" s="29" t="s">
        <v>32</v>
      </c>
      <c r="E228" s="32" t="s">
        <v>2170</v>
      </c>
      <c r="F228" s="33">
        <v>46140</v>
      </c>
      <c r="G228" s="40">
        <v>46145</v>
      </c>
      <c r="H228" s="35">
        <v>34200</v>
      </c>
      <c r="I228" s="36"/>
      <c r="J228" s="35">
        <f>SUM(Table1[[#This Row],[LC Value]:[Amd Value]])</f>
        <v>34200</v>
      </c>
      <c r="K228" s="36">
        <v>9</v>
      </c>
      <c r="L228" s="37">
        <v>3800</v>
      </c>
      <c r="M228" s="33" t="s">
        <v>1172</v>
      </c>
      <c r="N228" s="33" t="s">
        <v>1485</v>
      </c>
      <c r="O228" s="38" t="str">
        <f>IFERROR(_xlfn.XLOOKUP(C228, Data!$A$2:$A$236, Data!$C$2:$C$236), "")</f>
        <v>MD. Sir</v>
      </c>
    </row>
    <row r="229" spans="1:15" ht="42" customHeight="1" x14ac:dyDescent="0.35">
      <c r="A229" s="41">
        <f t="shared" si="1"/>
        <v>540</v>
      </c>
      <c r="B229" s="30" t="s">
        <v>2167</v>
      </c>
      <c r="C229" s="39" t="s">
        <v>200</v>
      </c>
      <c r="D229" s="29" t="s">
        <v>32</v>
      </c>
      <c r="E229" s="32" t="s">
        <v>2168</v>
      </c>
      <c r="F229" s="33">
        <v>46140</v>
      </c>
      <c r="G229" s="40">
        <v>46145</v>
      </c>
      <c r="H229" s="35">
        <v>11000</v>
      </c>
      <c r="I229" s="36"/>
      <c r="J229" s="35">
        <f>SUM(Table1[[#This Row],[LC Value]:[Amd Value]])</f>
        <v>11000</v>
      </c>
      <c r="K229" s="36">
        <v>4.4000000000000004</v>
      </c>
      <c r="L229" s="37">
        <v>2500</v>
      </c>
      <c r="M229" s="33" t="s">
        <v>1172</v>
      </c>
      <c r="N229" s="33" t="s">
        <v>1485</v>
      </c>
      <c r="O229" s="38" t="str">
        <f>IFERROR(_xlfn.XLOOKUP(C229, Data!$A$2:$A$236, Data!$C$2:$C$236), "")</f>
        <v>MD. Sir</v>
      </c>
    </row>
    <row r="230" spans="1:15" ht="42" customHeight="1" x14ac:dyDescent="0.35">
      <c r="A230" s="41">
        <f t="shared" si="1"/>
        <v>539</v>
      </c>
      <c r="B230" s="30" t="s">
        <v>2165</v>
      </c>
      <c r="C230" s="39" t="s">
        <v>200</v>
      </c>
      <c r="D230" s="29" t="s">
        <v>32</v>
      </c>
      <c r="E230" s="32" t="s">
        <v>2166</v>
      </c>
      <c r="F230" s="33">
        <v>46140</v>
      </c>
      <c r="G230" s="40">
        <v>46145</v>
      </c>
      <c r="H230" s="35">
        <v>44277.5</v>
      </c>
      <c r="I230" s="36"/>
      <c r="J230" s="35">
        <f>SUM(Table1[[#This Row],[LC Value]:[Amd Value]])</f>
        <v>44277.5</v>
      </c>
      <c r="K230" s="36">
        <v>4.45</v>
      </c>
      <c r="L230" s="37">
        <v>17200</v>
      </c>
      <c r="M230" s="33" t="s">
        <v>1172</v>
      </c>
      <c r="N230" s="33" t="s">
        <v>1485</v>
      </c>
      <c r="O230" s="38" t="str">
        <f>IFERROR(_xlfn.XLOOKUP(C230, Data!$A$2:$A$236, Data!$C$2:$C$236), "")</f>
        <v>MD. Sir</v>
      </c>
    </row>
    <row r="231" spans="1:15" ht="42" customHeight="1" x14ac:dyDescent="0.35">
      <c r="A231" s="41">
        <f t="shared" si="1"/>
        <v>538</v>
      </c>
      <c r="B231" s="30" t="s">
        <v>2163</v>
      </c>
      <c r="C231" s="39" t="s">
        <v>199</v>
      </c>
      <c r="D231" s="29" t="s">
        <v>353</v>
      </c>
      <c r="E231" s="32" t="s">
        <v>2164</v>
      </c>
      <c r="F231" s="33">
        <v>46140</v>
      </c>
      <c r="G231" s="40">
        <v>46145</v>
      </c>
      <c r="H231" s="35">
        <v>49880</v>
      </c>
      <c r="I231" s="36"/>
      <c r="J231" s="35">
        <f>SUM(Table1[[#This Row],[LC Value]:[Amd Value]])</f>
        <v>49880</v>
      </c>
      <c r="K231" s="36">
        <v>2.9</v>
      </c>
      <c r="L231" s="37">
        <v>17200</v>
      </c>
      <c r="M231" s="33" t="s">
        <v>1172</v>
      </c>
      <c r="N231" s="33" t="s">
        <v>1485</v>
      </c>
      <c r="O231" s="38" t="str">
        <f>IFERROR(_xlfn.XLOOKUP(C231, Data!$A$2:$A$236, Data!$C$2:$C$236), "")</f>
        <v>MD. Sir</v>
      </c>
    </row>
    <row r="232" spans="1:15" ht="42" customHeight="1" x14ac:dyDescent="0.35">
      <c r="A232" s="41">
        <f t="shared" si="1"/>
        <v>537</v>
      </c>
      <c r="B232" s="30" t="s">
        <v>2159</v>
      </c>
      <c r="C232" s="39" t="s">
        <v>174</v>
      </c>
      <c r="D232" s="29" t="s">
        <v>2691</v>
      </c>
      <c r="E232" s="32" t="s">
        <v>2160</v>
      </c>
      <c r="F232" s="33">
        <v>46140</v>
      </c>
      <c r="G232" s="40">
        <v>46146</v>
      </c>
      <c r="H232" s="35">
        <v>42135</v>
      </c>
      <c r="I232" s="36"/>
      <c r="J232" s="35">
        <f>SUM(Table1[[#This Row],[LC Value]:[Amd Value]])</f>
        <v>42135</v>
      </c>
      <c r="K232" s="36">
        <v>3.95</v>
      </c>
      <c r="L232" s="37">
        <v>10700</v>
      </c>
      <c r="M232" s="33" t="s">
        <v>1172</v>
      </c>
      <c r="N232" s="33" t="s">
        <v>1485</v>
      </c>
      <c r="O232" s="38" t="str">
        <f>IFERROR(_xlfn.XLOOKUP(C232, Data!$A$2:$A$236, Data!$C$2:$C$236), "")</f>
        <v>Mr. Reza Sir</v>
      </c>
    </row>
    <row r="233" spans="1:15" ht="42" customHeight="1" x14ac:dyDescent="0.35">
      <c r="A233" s="41">
        <f t="shared" si="1"/>
        <v>536</v>
      </c>
      <c r="B233" s="30" t="s">
        <v>2157</v>
      </c>
      <c r="C233" s="39" t="s">
        <v>174</v>
      </c>
      <c r="D233" s="29" t="s">
        <v>2691</v>
      </c>
      <c r="E233" s="32" t="s">
        <v>2158</v>
      </c>
      <c r="F233" s="33">
        <v>46140</v>
      </c>
      <c r="G233" s="40">
        <v>46146</v>
      </c>
      <c r="H233" s="35">
        <v>88000</v>
      </c>
      <c r="I233" s="36"/>
      <c r="J233" s="35">
        <f>SUM(Table1[[#This Row],[LC Value]:[Amd Value]])</f>
        <v>88000</v>
      </c>
      <c r="K233" s="36">
        <v>4</v>
      </c>
      <c r="L233" s="37">
        <v>21000</v>
      </c>
      <c r="M233" s="33" t="s">
        <v>1172</v>
      </c>
      <c r="N233" s="33" t="s">
        <v>1485</v>
      </c>
      <c r="O233" s="38" t="str">
        <f>IFERROR(_xlfn.XLOOKUP(C233, Data!$A$2:$A$236, Data!$C$2:$C$236), "")</f>
        <v>Mr. Reza Sir</v>
      </c>
    </row>
    <row r="234" spans="1:15" ht="42" customHeight="1" x14ac:dyDescent="0.35">
      <c r="A234" s="41">
        <f t="shared" si="1"/>
        <v>535</v>
      </c>
      <c r="B234" s="30" t="s">
        <v>2155</v>
      </c>
      <c r="C234" s="39" t="s">
        <v>150</v>
      </c>
      <c r="D234" s="29" t="s">
        <v>96</v>
      </c>
      <c r="E234" s="32" t="s">
        <v>2156</v>
      </c>
      <c r="F234" s="33">
        <v>46140</v>
      </c>
      <c r="G234" s="40">
        <v>46146</v>
      </c>
      <c r="H234" s="35">
        <f>74650+7292</f>
        <v>81942</v>
      </c>
      <c r="I234" s="36"/>
      <c r="J234" s="35">
        <f>SUM(Table1[[#This Row],[LC Value]:[Amd Value]])</f>
        <v>81942</v>
      </c>
      <c r="K234" s="36">
        <v>3.56</v>
      </c>
      <c r="L234" s="37">
        <v>22100</v>
      </c>
      <c r="M234" s="33" t="s">
        <v>1172</v>
      </c>
      <c r="N234" s="33" t="s">
        <v>1485</v>
      </c>
      <c r="O234" s="38" t="str">
        <f>IFERROR(_xlfn.XLOOKUP(C234, Data!$A$2:$A$236, Data!$C$2:$C$236), "")</f>
        <v>Mr. Sohel Sir</v>
      </c>
    </row>
    <row r="235" spans="1:15" ht="42" customHeight="1" x14ac:dyDescent="0.35">
      <c r="A235" s="41">
        <f t="shared" si="1"/>
        <v>534</v>
      </c>
      <c r="B235" s="30" t="s">
        <v>2153</v>
      </c>
      <c r="C235" s="39" t="s">
        <v>288</v>
      </c>
      <c r="D235" s="29" t="s">
        <v>1168</v>
      </c>
      <c r="E235" s="32" t="s">
        <v>2154</v>
      </c>
      <c r="F235" s="33" t="s">
        <v>1941</v>
      </c>
      <c r="G235" s="40">
        <v>46146</v>
      </c>
      <c r="H235" s="35">
        <v>17250</v>
      </c>
      <c r="I235" s="36"/>
      <c r="J235" s="35">
        <f>SUM(Table1[[#This Row],[LC Value]:[Amd Value]])</f>
        <v>17250</v>
      </c>
      <c r="K235" s="36">
        <v>3.45</v>
      </c>
      <c r="L235" s="37">
        <v>5000</v>
      </c>
      <c r="M235" s="33" t="s">
        <v>1485</v>
      </c>
      <c r="N235" s="33" t="s">
        <v>868</v>
      </c>
      <c r="O235" s="38" t="str">
        <f>IFERROR(_xlfn.XLOOKUP(C235, Data!$A$2:$A$236, Data!$C$2:$C$236), "")</f>
        <v>Mr. Reza Sir</v>
      </c>
    </row>
    <row r="236" spans="1:15" ht="42" customHeight="1" x14ac:dyDescent="0.35">
      <c r="A236" s="41">
        <f t="shared" si="1"/>
        <v>533</v>
      </c>
      <c r="B236" s="30" t="s">
        <v>2151</v>
      </c>
      <c r="C236" s="39" t="s">
        <v>264</v>
      </c>
      <c r="D236" s="29" t="s">
        <v>32</v>
      </c>
      <c r="E236" s="32" t="s">
        <v>2152</v>
      </c>
      <c r="F236" s="33" t="s">
        <v>969</v>
      </c>
      <c r="G236" s="40">
        <v>46140</v>
      </c>
      <c r="H236" s="35">
        <v>34320</v>
      </c>
      <c r="I236" s="36">
        <v>880</v>
      </c>
      <c r="J236" s="35">
        <f>SUM(Table1[[#This Row],[LC Value]:[Amd Value]])</f>
        <v>35200</v>
      </c>
      <c r="K236" s="36">
        <v>3.9</v>
      </c>
      <c r="L236" s="37">
        <v>8800</v>
      </c>
      <c r="M236" s="33" t="s">
        <v>1485</v>
      </c>
      <c r="N236" s="33" t="s">
        <v>2113</v>
      </c>
      <c r="O236" s="38" t="str">
        <f>IFERROR(_xlfn.XLOOKUP(C236, Data!$A$2:$A$236, Data!$C$2:$C$236), "")</f>
        <v>Mr. Lipu Sir</v>
      </c>
    </row>
    <row r="237" spans="1:15" ht="42" customHeight="1" x14ac:dyDescent="0.35">
      <c r="A237" s="41">
        <f t="shared" si="1"/>
        <v>532</v>
      </c>
      <c r="B237" s="30" t="s">
        <v>2149</v>
      </c>
      <c r="C237" s="39" t="s">
        <v>200</v>
      </c>
      <c r="D237" s="29" t="s">
        <v>98</v>
      </c>
      <c r="E237" s="32" t="s">
        <v>2150</v>
      </c>
      <c r="F237" s="33">
        <v>46139</v>
      </c>
      <c r="G237" s="40">
        <v>46141</v>
      </c>
      <c r="H237" s="35">
        <v>13575</v>
      </c>
      <c r="I237" s="36"/>
      <c r="J237" s="35">
        <f>SUM(Table1[[#This Row],[LC Value]:[Amd Value]])</f>
        <v>13575</v>
      </c>
      <c r="K237" s="36">
        <v>3.55</v>
      </c>
      <c r="L237" s="37">
        <v>3700</v>
      </c>
      <c r="M237" s="33" t="s">
        <v>1485</v>
      </c>
      <c r="N237" s="33" t="s">
        <v>2113</v>
      </c>
      <c r="O237" s="38" t="str">
        <f>IFERROR(_xlfn.XLOOKUP(C237, Data!$A$2:$A$236, Data!$C$2:$C$236), "")</f>
        <v>MD. Sir</v>
      </c>
    </row>
    <row r="238" spans="1:15" ht="42" customHeight="1" x14ac:dyDescent="0.35">
      <c r="A238" s="41">
        <f t="shared" si="1"/>
        <v>531</v>
      </c>
      <c r="B238" s="30" t="s">
        <v>2145</v>
      </c>
      <c r="C238" s="39" t="s">
        <v>210</v>
      </c>
      <c r="D238" s="29" t="s">
        <v>135</v>
      </c>
      <c r="E238" s="32" t="s">
        <v>2146</v>
      </c>
      <c r="F238" s="33">
        <v>46139</v>
      </c>
      <c r="G238" s="40">
        <v>46141</v>
      </c>
      <c r="H238" s="35">
        <v>61200</v>
      </c>
      <c r="I238" s="36">
        <v>4800</v>
      </c>
      <c r="J238" s="35">
        <f>SUM(Table1[[#This Row],[LC Value]:[Amd Value]])</f>
        <v>66000</v>
      </c>
      <c r="K238" s="36">
        <v>4</v>
      </c>
      <c r="L238" s="37">
        <v>15300</v>
      </c>
      <c r="M238" s="33" t="s">
        <v>1996</v>
      </c>
      <c r="N238" s="33" t="s">
        <v>2125</v>
      </c>
      <c r="O238" s="38" t="str">
        <f>IFERROR(_xlfn.XLOOKUP(C238, Data!$A$2:$A$236, Data!$C$2:$C$236), "")</f>
        <v>Mr. Lipu Sir</v>
      </c>
    </row>
    <row r="239" spans="1:15" ht="42" customHeight="1" x14ac:dyDescent="0.35">
      <c r="A239" s="41">
        <f t="shared" si="1"/>
        <v>530</v>
      </c>
      <c r="B239" s="30" t="s">
        <v>2141</v>
      </c>
      <c r="C239" s="39" t="s">
        <v>199</v>
      </c>
      <c r="D239" s="29" t="s">
        <v>32</v>
      </c>
      <c r="E239" s="32" t="s">
        <v>2142</v>
      </c>
      <c r="F239" s="33">
        <v>46139</v>
      </c>
      <c r="G239" s="40">
        <v>46141</v>
      </c>
      <c r="H239" s="35">
        <v>36720</v>
      </c>
      <c r="I239" s="36"/>
      <c r="J239" s="35">
        <f>SUM(Table1[[#This Row],[LC Value]:[Amd Value]])</f>
        <v>36720</v>
      </c>
      <c r="K239" s="36">
        <v>3.7</v>
      </c>
      <c r="L239" s="37">
        <v>15350</v>
      </c>
      <c r="M239" s="33" t="s">
        <v>2129</v>
      </c>
      <c r="N239" s="33" t="s">
        <v>2128</v>
      </c>
      <c r="O239" s="38" t="str">
        <f>IFERROR(_xlfn.XLOOKUP(C239, Data!$A$2:$A$236, Data!$C$2:$C$236), "")</f>
        <v>MD. Sir</v>
      </c>
    </row>
    <row r="240" spans="1:15" ht="42" customHeight="1" x14ac:dyDescent="0.35">
      <c r="A240" s="41">
        <f t="shared" si="1"/>
        <v>529</v>
      </c>
      <c r="B240" s="30" t="s">
        <v>2139</v>
      </c>
      <c r="C240" s="39" t="s">
        <v>199</v>
      </c>
      <c r="D240" s="29" t="s">
        <v>32</v>
      </c>
      <c r="E240" s="32" t="s">
        <v>2140</v>
      </c>
      <c r="F240" s="33">
        <v>46139</v>
      </c>
      <c r="G240" s="40">
        <v>46141</v>
      </c>
      <c r="H240" s="35">
        <v>24680</v>
      </c>
      <c r="I240" s="36"/>
      <c r="J240" s="35">
        <f>SUM(Table1[[#This Row],[LC Value]:[Amd Value]])</f>
        <v>24680</v>
      </c>
      <c r="K240" s="36">
        <v>3.7</v>
      </c>
      <c r="L240" s="37">
        <v>6600</v>
      </c>
      <c r="M240" s="33" t="s">
        <v>2129</v>
      </c>
      <c r="N240" s="33" t="s">
        <v>2128</v>
      </c>
      <c r="O240" s="38" t="str">
        <f>IFERROR(_xlfn.XLOOKUP(C240, Data!$A$2:$A$236, Data!$C$2:$C$236), "")</f>
        <v>MD. Sir</v>
      </c>
    </row>
    <row r="241" spans="1:15" ht="42" customHeight="1" x14ac:dyDescent="0.35">
      <c r="A241" s="41">
        <f t="shared" si="1"/>
        <v>528</v>
      </c>
      <c r="B241" s="30" t="s">
        <v>2137</v>
      </c>
      <c r="C241" s="39" t="s">
        <v>174</v>
      </c>
      <c r="D241" s="29" t="s">
        <v>2691</v>
      </c>
      <c r="E241" s="32" t="s">
        <v>2138</v>
      </c>
      <c r="F241" s="33">
        <v>46139</v>
      </c>
      <c r="G241" s="40">
        <v>46141</v>
      </c>
      <c r="H241" s="35">
        <v>33935</v>
      </c>
      <c r="I241" s="36"/>
      <c r="J241" s="35">
        <f>SUM(Table1[[#This Row],[LC Value]:[Amd Value]])</f>
        <v>33935</v>
      </c>
      <c r="K241" s="36">
        <v>4.05</v>
      </c>
      <c r="L241" s="37">
        <v>8450</v>
      </c>
      <c r="M241" s="33" t="s">
        <v>2129</v>
      </c>
      <c r="N241" s="33" t="s">
        <v>2128</v>
      </c>
      <c r="O241" s="38" t="str">
        <f>IFERROR(_xlfn.XLOOKUP(C241, Data!$A$2:$A$236, Data!$C$2:$C$236), "")</f>
        <v>Mr. Reza Sir</v>
      </c>
    </row>
    <row r="242" spans="1:15" ht="42" customHeight="1" x14ac:dyDescent="0.35">
      <c r="A242" s="41">
        <f t="shared" si="1"/>
        <v>527</v>
      </c>
      <c r="B242" s="30" t="s">
        <v>2135</v>
      </c>
      <c r="C242" s="39" t="s">
        <v>174</v>
      </c>
      <c r="D242" s="29" t="s">
        <v>2691</v>
      </c>
      <c r="E242" s="32" t="s">
        <v>2136</v>
      </c>
      <c r="F242" s="33">
        <v>46139</v>
      </c>
      <c r="G242" s="40">
        <v>46141</v>
      </c>
      <c r="H242" s="35">
        <v>9750</v>
      </c>
      <c r="I242" s="36"/>
      <c r="J242" s="35">
        <f>SUM(Table1[[#This Row],[LC Value]:[Amd Value]])</f>
        <v>9750</v>
      </c>
      <c r="K242" s="36">
        <v>3.9</v>
      </c>
      <c r="L242" s="37">
        <v>2500</v>
      </c>
      <c r="M242" s="33" t="s">
        <v>2129</v>
      </c>
      <c r="N242" s="33" t="s">
        <v>2128</v>
      </c>
      <c r="O242" s="38" t="str">
        <f>IFERROR(_xlfn.XLOOKUP(C242, Data!$A$2:$A$236, Data!$C$2:$C$236), "")</f>
        <v>Mr. Reza Sir</v>
      </c>
    </row>
    <row r="243" spans="1:15" ht="42" customHeight="1" x14ac:dyDescent="0.35">
      <c r="A243" s="41">
        <f t="shared" si="1"/>
        <v>526</v>
      </c>
      <c r="B243" s="30" t="s">
        <v>2133</v>
      </c>
      <c r="C243" s="42" t="s">
        <v>238</v>
      </c>
      <c r="D243" s="29" t="s">
        <v>194</v>
      </c>
      <c r="E243" s="32" t="s">
        <v>2134</v>
      </c>
      <c r="F243" s="33">
        <v>46139</v>
      </c>
      <c r="G243" s="33">
        <v>46139</v>
      </c>
      <c r="H243" s="35">
        <v>12212.5</v>
      </c>
      <c r="I243" s="36"/>
      <c r="J243" s="35">
        <f>SUM(Table1[[#This Row],[LC Value]:[Amd Value]])</f>
        <v>12212.5</v>
      </c>
      <c r="K243" s="36">
        <v>3.45</v>
      </c>
      <c r="L243" s="37">
        <v>29500</v>
      </c>
      <c r="M243" s="33" t="s">
        <v>2129</v>
      </c>
      <c r="N243" s="33" t="s">
        <v>2128</v>
      </c>
      <c r="O243" s="38" t="str">
        <f>IFERROR(_xlfn.XLOOKUP(C243, Data!$A$2:$A$236, Data!$C$2:$C$236), "")</f>
        <v>Mr. Reza Sir</v>
      </c>
    </row>
    <row r="244" spans="1:15" ht="42" customHeight="1" x14ac:dyDescent="0.35">
      <c r="A244" s="41">
        <f t="shared" si="1"/>
        <v>525</v>
      </c>
      <c r="B244" s="30" t="s">
        <v>2131</v>
      </c>
      <c r="C244" s="39" t="s">
        <v>97</v>
      </c>
      <c r="D244" s="29" t="s">
        <v>280</v>
      </c>
      <c r="E244" s="32" t="s">
        <v>2132</v>
      </c>
      <c r="F244" s="33">
        <v>46139</v>
      </c>
      <c r="G244" s="40">
        <v>46141</v>
      </c>
      <c r="H244" s="35">
        <v>101775</v>
      </c>
      <c r="I244" s="36"/>
      <c r="J244" s="35">
        <f>SUM(Table1[[#This Row],[LC Value]:[Amd Value]])</f>
        <v>101775</v>
      </c>
      <c r="K244" s="36">
        <v>3.45</v>
      </c>
      <c r="L244" s="37">
        <v>29500</v>
      </c>
      <c r="M244" s="33" t="s">
        <v>2129</v>
      </c>
      <c r="N244" s="33" t="s">
        <v>2128</v>
      </c>
      <c r="O244" s="38" t="str">
        <f>IFERROR(_xlfn.XLOOKUP(C244, Data!$A$2:$A$236, Data!$C$2:$C$236), "")</f>
        <v>Mr. Reza Sir</v>
      </c>
    </row>
    <row r="245" spans="1:15" ht="42" customHeight="1" x14ac:dyDescent="0.35">
      <c r="A245" s="41">
        <f t="shared" si="1"/>
        <v>524</v>
      </c>
      <c r="B245" s="30" t="s">
        <v>2126</v>
      </c>
      <c r="C245" s="39" t="s">
        <v>246</v>
      </c>
      <c r="D245" s="29" t="s">
        <v>98</v>
      </c>
      <c r="E245" s="32" t="s">
        <v>2127</v>
      </c>
      <c r="F245" s="33" t="s">
        <v>2107</v>
      </c>
      <c r="G245" s="40">
        <v>46139</v>
      </c>
      <c r="H245" s="35">
        <v>9720</v>
      </c>
      <c r="I245" s="36"/>
      <c r="J245" s="35">
        <f>SUM(Table1[[#This Row],[LC Value]:[Amd Value]])</f>
        <v>9720</v>
      </c>
      <c r="K245" s="36">
        <v>4.55</v>
      </c>
      <c r="L245" s="37">
        <v>2400</v>
      </c>
      <c r="M245" s="33" t="s">
        <v>2129</v>
      </c>
      <c r="N245" s="33" t="s">
        <v>2128</v>
      </c>
      <c r="O245" s="38" t="str">
        <f>IFERROR(_xlfn.XLOOKUP(C245, Data!$A$2:$A$236, Data!$C$2:$C$236), "")</f>
        <v>Mr. Sohel Sir</v>
      </c>
    </row>
    <row r="246" spans="1:15" ht="42" customHeight="1" x14ac:dyDescent="0.35">
      <c r="A246" s="41">
        <f t="shared" si="1"/>
        <v>523</v>
      </c>
      <c r="B246" s="30" t="s">
        <v>2123</v>
      </c>
      <c r="C246" s="39" t="s">
        <v>201</v>
      </c>
      <c r="D246" s="29" t="s">
        <v>21</v>
      </c>
      <c r="E246" s="32" t="s">
        <v>2124</v>
      </c>
      <c r="F246" s="33" t="s">
        <v>2107</v>
      </c>
      <c r="G246" s="40">
        <v>46141</v>
      </c>
      <c r="H246" s="35">
        <v>16000</v>
      </c>
      <c r="I246" s="36"/>
      <c r="J246" s="35">
        <f>SUM(Table1[[#This Row],[LC Value]:[Amd Value]])</f>
        <v>16000</v>
      </c>
      <c r="K246" s="36">
        <v>4</v>
      </c>
      <c r="L246" s="37">
        <v>4000</v>
      </c>
      <c r="M246" s="33" t="s">
        <v>1996</v>
      </c>
      <c r="N246" s="33" t="s">
        <v>2125</v>
      </c>
      <c r="O246" s="38" t="str">
        <f>IFERROR(_xlfn.XLOOKUP(C246, Data!$A$2:$A$236, Data!$C$2:$C$236), "")</f>
        <v>Director Sir</v>
      </c>
    </row>
    <row r="247" spans="1:15" ht="42" customHeight="1" x14ac:dyDescent="0.35">
      <c r="A247" s="41">
        <f t="shared" si="1"/>
        <v>522</v>
      </c>
      <c r="B247" s="30" t="s">
        <v>2120</v>
      </c>
      <c r="C247" s="39" t="s">
        <v>201</v>
      </c>
      <c r="D247" s="29" t="s">
        <v>21</v>
      </c>
      <c r="E247" s="32" t="s">
        <v>2121</v>
      </c>
      <c r="F247" s="33" t="s">
        <v>2107</v>
      </c>
      <c r="G247" s="40">
        <v>46142</v>
      </c>
      <c r="H247" s="35">
        <f>99600+86250</f>
        <v>185850</v>
      </c>
      <c r="I247" s="36"/>
      <c r="J247" s="35">
        <f>SUM(Table1[[#This Row],[LC Value]:[Amd Value]])</f>
        <v>185850</v>
      </c>
      <c r="K247" s="36">
        <v>3.32</v>
      </c>
      <c r="L247" s="37">
        <v>55000</v>
      </c>
      <c r="M247" s="33" t="s">
        <v>2122</v>
      </c>
      <c r="N247" s="33" t="s">
        <v>1083</v>
      </c>
      <c r="O247" s="38" t="str">
        <f>IFERROR(_xlfn.XLOOKUP(C247, Data!$A$2:$A$236, Data!$C$2:$C$236), "")</f>
        <v>Director Sir</v>
      </c>
    </row>
    <row r="248" spans="1:15" ht="42" customHeight="1" x14ac:dyDescent="0.35">
      <c r="A248" s="41">
        <f t="shared" si="1"/>
        <v>521</v>
      </c>
      <c r="B248" s="30" t="s">
        <v>2118</v>
      </c>
      <c r="C248" s="39" t="s">
        <v>199</v>
      </c>
      <c r="D248" s="29" t="s">
        <v>32</v>
      </c>
      <c r="E248" s="32" t="s">
        <v>2119</v>
      </c>
      <c r="F248" s="33" t="s">
        <v>2107</v>
      </c>
      <c r="G248" s="40">
        <v>46141</v>
      </c>
      <c r="H248" s="35">
        <v>25440</v>
      </c>
      <c r="I248" s="36"/>
      <c r="J248" s="35">
        <f>SUM(Table1[[#This Row],[LC Value]:[Amd Value]])</f>
        <v>25440</v>
      </c>
      <c r="K248" s="36">
        <v>2.4</v>
      </c>
      <c r="L248" s="37">
        <v>10600</v>
      </c>
      <c r="M248" s="33" t="s">
        <v>1485</v>
      </c>
      <c r="N248" s="33" t="s">
        <v>2113</v>
      </c>
      <c r="O248" s="38" t="str">
        <f>IFERROR(_xlfn.XLOOKUP(C248, Data!$A$2:$A$236, Data!$C$2:$C$236), "")</f>
        <v>MD. Sir</v>
      </c>
    </row>
    <row r="249" spans="1:15" ht="42" customHeight="1" x14ac:dyDescent="0.35">
      <c r="A249" s="41">
        <f t="shared" si="1"/>
        <v>520</v>
      </c>
      <c r="B249" s="30" t="s">
        <v>2116</v>
      </c>
      <c r="C249" s="39" t="s">
        <v>199</v>
      </c>
      <c r="D249" s="29" t="s">
        <v>98</v>
      </c>
      <c r="E249" s="32" t="s">
        <v>2117</v>
      </c>
      <c r="F249" s="33" t="s">
        <v>2107</v>
      </c>
      <c r="G249" s="40">
        <v>46141</v>
      </c>
      <c r="H249" s="35">
        <v>33250</v>
      </c>
      <c r="I249" s="36"/>
      <c r="J249" s="35">
        <f>SUM(Table1[[#This Row],[LC Value]:[Amd Value]])</f>
        <v>33250</v>
      </c>
      <c r="K249" s="36">
        <v>3.5</v>
      </c>
      <c r="L249" s="37">
        <v>9500</v>
      </c>
      <c r="M249" s="33" t="s">
        <v>1485</v>
      </c>
      <c r="N249" s="33" t="s">
        <v>2113</v>
      </c>
      <c r="O249" s="38" t="str">
        <f>IFERROR(_xlfn.XLOOKUP(C249, Data!$A$2:$A$236, Data!$C$2:$C$236), "")</f>
        <v>MD. Sir</v>
      </c>
    </row>
    <row r="250" spans="1:15" ht="42" customHeight="1" x14ac:dyDescent="0.35">
      <c r="A250" s="41">
        <f t="shared" si="1"/>
        <v>519</v>
      </c>
      <c r="B250" s="30" t="s">
        <v>2114</v>
      </c>
      <c r="C250" s="39" t="s">
        <v>199</v>
      </c>
      <c r="D250" s="29" t="s">
        <v>98</v>
      </c>
      <c r="E250" s="32" t="s">
        <v>2115</v>
      </c>
      <c r="F250" s="33" t="s">
        <v>2107</v>
      </c>
      <c r="G250" s="40">
        <v>46141</v>
      </c>
      <c r="H250" s="35">
        <v>19392.5</v>
      </c>
      <c r="I250" s="36"/>
      <c r="J250" s="35">
        <f>SUM(Table1[[#This Row],[LC Value]:[Amd Value]])</f>
        <v>19392.5</v>
      </c>
      <c r="K250" s="36">
        <v>2.4</v>
      </c>
      <c r="L250" s="37">
        <v>6400</v>
      </c>
      <c r="M250" s="33" t="s">
        <v>1485</v>
      </c>
      <c r="N250" s="33" t="s">
        <v>2113</v>
      </c>
      <c r="O250" s="38" t="str">
        <f>IFERROR(_xlfn.XLOOKUP(C250, Data!$A$2:$A$236, Data!$C$2:$C$236), "")</f>
        <v>MD. Sir</v>
      </c>
    </row>
    <row r="251" spans="1:15" ht="42" customHeight="1" x14ac:dyDescent="0.35">
      <c r="A251" s="41">
        <f t="shared" si="1"/>
        <v>518</v>
      </c>
      <c r="B251" s="30" t="s">
        <v>2111</v>
      </c>
      <c r="C251" s="39" t="s">
        <v>199</v>
      </c>
      <c r="D251" s="29" t="s">
        <v>98</v>
      </c>
      <c r="E251" s="32" t="s">
        <v>2112</v>
      </c>
      <c r="F251" s="33" t="s">
        <v>2107</v>
      </c>
      <c r="G251" s="40">
        <v>46141</v>
      </c>
      <c r="H251" s="35">
        <v>46777.5</v>
      </c>
      <c r="I251" s="36"/>
      <c r="J251" s="35">
        <f>SUM(Table1[[#This Row],[LC Value]:[Amd Value]])</f>
        <v>46777.5</v>
      </c>
      <c r="K251" s="36">
        <v>2.4</v>
      </c>
      <c r="L251" s="37">
        <v>19250</v>
      </c>
      <c r="M251" s="33" t="s">
        <v>1485</v>
      </c>
      <c r="N251" s="33" t="s">
        <v>2113</v>
      </c>
      <c r="O251" s="38" t="str">
        <f>IFERROR(_xlfn.XLOOKUP(C251, Data!$A$2:$A$236, Data!$C$2:$C$236), "")</f>
        <v>MD. Sir</v>
      </c>
    </row>
    <row r="252" spans="1:15" ht="42" customHeight="1" x14ac:dyDescent="0.35">
      <c r="A252" s="41">
        <f t="shared" si="1"/>
        <v>517</v>
      </c>
      <c r="B252" s="30" t="s">
        <v>2109</v>
      </c>
      <c r="C252" s="39" t="s">
        <v>199</v>
      </c>
      <c r="D252" s="29" t="s">
        <v>98</v>
      </c>
      <c r="E252" s="32" t="s">
        <v>2110</v>
      </c>
      <c r="F252" s="33" t="s">
        <v>2107</v>
      </c>
      <c r="G252" s="40">
        <v>46141</v>
      </c>
      <c r="H252" s="35">
        <v>90900</v>
      </c>
      <c r="I252" s="36"/>
      <c r="J252" s="35">
        <f>SUM(Table1[[#This Row],[LC Value]:[Amd Value]])</f>
        <v>90900</v>
      </c>
      <c r="K252" s="36">
        <v>3</v>
      </c>
      <c r="L252" s="37">
        <v>30300</v>
      </c>
      <c r="M252" s="33" t="s">
        <v>1732</v>
      </c>
      <c r="N252" s="33" t="s">
        <v>2108</v>
      </c>
      <c r="O252" s="38" t="str">
        <f>IFERROR(_xlfn.XLOOKUP(C252, Data!$A$2:$A$236, Data!$C$2:$C$236), "")</f>
        <v>MD. Sir</v>
      </c>
    </row>
    <row r="253" spans="1:15" ht="42" customHeight="1" x14ac:dyDescent="0.35">
      <c r="A253" s="41">
        <f t="shared" si="1"/>
        <v>516</v>
      </c>
      <c r="B253" s="30" t="s">
        <v>2103</v>
      </c>
      <c r="C253" s="39" t="s">
        <v>68</v>
      </c>
      <c r="D253" s="29" t="s">
        <v>414</v>
      </c>
      <c r="E253" s="32" t="s">
        <v>2104</v>
      </c>
      <c r="F253" s="33">
        <v>46135</v>
      </c>
      <c r="G253" s="40">
        <v>46140</v>
      </c>
      <c r="H253" s="35">
        <v>76402.5</v>
      </c>
      <c r="I253" s="36">
        <v>7298.68</v>
      </c>
      <c r="J253" s="35">
        <f>SUM(Table1[[#This Row],[LC Value]:[Amd Value]])</f>
        <v>83701.179999999993</v>
      </c>
      <c r="K253" s="36">
        <v>3.4</v>
      </c>
      <c r="L253" s="37">
        <v>22150</v>
      </c>
      <c r="M253" s="33" t="s">
        <v>868</v>
      </c>
      <c r="N253" s="33" t="s">
        <v>1560</v>
      </c>
      <c r="O253" s="38" t="str">
        <f>IFERROR(_xlfn.XLOOKUP(C253, Data!$A$2:$A$236, Data!$C$2:$C$236), "")</f>
        <v>Director Sir</v>
      </c>
    </row>
    <row r="254" spans="1:15" ht="42" customHeight="1" x14ac:dyDescent="0.35">
      <c r="A254" s="41">
        <f t="shared" si="1"/>
        <v>515</v>
      </c>
      <c r="B254" s="30" t="s">
        <v>2099</v>
      </c>
      <c r="C254" s="39" t="s">
        <v>199</v>
      </c>
      <c r="D254" s="29" t="s">
        <v>32</v>
      </c>
      <c r="E254" s="32" t="s">
        <v>2100</v>
      </c>
      <c r="F254" s="33">
        <v>46135</v>
      </c>
      <c r="G254" s="40">
        <v>46139</v>
      </c>
      <c r="H254" s="35">
        <v>75250</v>
      </c>
      <c r="I254" s="36"/>
      <c r="J254" s="35">
        <f>SUM(Table1[[#This Row],[LC Value]:[Amd Value]])</f>
        <v>75250</v>
      </c>
      <c r="K254" s="36">
        <v>3.3</v>
      </c>
      <c r="L254" s="37">
        <v>23200</v>
      </c>
      <c r="M254" s="33" t="s">
        <v>1715</v>
      </c>
      <c r="N254" s="33" t="s">
        <v>2092</v>
      </c>
      <c r="O254" s="38" t="str">
        <f>IFERROR(_xlfn.XLOOKUP(C254, Data!$A$2:$A$236, Data!$C$2:$C$236), "")</f>
        <v>MD. Sir</v>
      </c>
    </row>
    <row r="255" spans="1:15" ht="42" customHeight="1" x14ac:dyDescent="0.35">
      <c r="A255" s="41">
        <f t="shared" si="1"/>
        <v>514</v>
      </c>
      <c r="B255" s="30" t="s">
        <v>2097</v>
      </c>
      <c r="C255" s="39" t="s">
        <v>200</v>
      </c>
      <c r="D255" s="29" t="s">
        <v>32</v>
      </c>
      <c r="E255" s="32" t="s">
        <v>2098</v>
      </c>
      <c r="F255" s="33">
        <v>46135</v>
      </c>
      <c r="G255" s="40">
        <v>46139</v>
      </c>
      <c r="H255" s="35">
        <v>8360</v>
      </c>
      <c r="I255" s="36"/>
      <c r="J255" s="35">
        <f>SUM(Table1[[#This Row],[LC Value]:[Amd Value]])</f>
        <v>8360</v>
      </c>
      <c r="K255" s="36">
        <v>3.25</v>
      </c>
      <c r="L255" s="37">
        <v>1750</v>
      </c>
      <c r="M255" s="33" t="s">
        <v>1715</v>
      </c>
      <c r="N255" s="33" t="s">
        <v>2092</v>
      </c>
      <c r="O255" s="38" t="str">
        <f>IFERROR(_xlfn.XLOOKUP(C255, Data!$A$2:$A$236, Data!$C$2:$C$236), "")</f>
        <v>MD. Sir</v>
      </c>
    </row>
    <row r="256" spans="1:15" ht="42" customHeight="1" x14ac:dyDescent="0.35">
      <c r="A256" s="41">
        <f t="shared" si="1"/>
        <v>513</v>
      </c>
      <c r="B256" s="30" t="s">
        <v>2095</v>
      </c>
      <c r="C256" s="39" t="s">
        <v>200</v>
      </c>
      <c r="D256" s="29" t="s">
        <v>32</v>
      </c>
      <c r="E256" s="32" t="s">
        <v>2096</v>
      </c>
      <c r="F256" s="33">
        <v>46135</v>
      </c>
      <c r="G256" s="40">
        <v>46139</v>
      </c>
      <c r="H256" s="35">
        <v>8000</v>
      </c>
      <c r="I256" s="36"/>
      <c r="J256" s="35">
        <f>SUM(Table1[[#This Row],[LC Value]:[Amd Value]])</f>
        <v>8000</v>
      </c>
      <c r="K256" s="36">
        <v>3.25</v>
      </c>
      <c r="L256" s="37">
        <v>2000</v>
      </c>
      <c r="M256" s="33" t="s">
        <v>1715</v>
      </c>
      <c r="N256" s="33" t="s">
        <v>2092</v>
      </c>
      <c r="O256" s="38" t="str">
        <f>IFERROR(_xlfn.XLOOKUP(C256, Data!$A$2:$A$236, Data!$C$2:$C$236), "")</f>
        <v>MD. Sir</v>
      </c>
    </row>
    <row r="257" spans="1:15" ht="42" customHeight="1" x14ac:dyDescent="0.35">
      <c r="A257" s="41">
        <f t="shared" si="1"/>
        <v>512</v>
      </c>
      <c r="B257" s="30" t="s">
        <v>2090</v>
      </c>
      <c r="C257" s="39" t="s">
        <v>199</v>
      </c>
      <c r="D257" s="29" t="s">
        <v>32</v>
      </c>
      <c r="E257" s="32" t="s">
        <v>2091</v>
      </c>
      <c r="F257" s="33" t="s">
        <v>1246</v>
      </c>
      <c r="G257" s="40">
        <v>46139</v>
      </c>
      <c r="H257" s="35">
        <v>101745</v>
      </c>
      <c r="I257" s="36"/>
      <c r="J257" s="35">
        <f>SUM(Table1[[#This Row],[LC Value]:[Amd Value]])</f>
        <v>101745</v>
      </c>
      <c r="K257" s="36">
        <v>3.25</v>
      </c>
      <c r="L257" s="37">
        <v>31500</v>
      </c>
      <c r="M257" s="33" t="s">
        <v>1715</v>
      </c>
      <c r="N257" s="33" t="s">
        <v>2092</v>
      </c>
      <c r="O257" s="38" t="str">
        <f>IFERROR(_xlfn.XLOOKUP(C257, Data!$A$2:$A$236, Data!$C$2:$C$236), "")</f>
        <v>MD. Sir</v>
      </c>
    </row>
    <row r="258" spans="1:15" ht="42" customHeight="1" x14ac:dyDescent="0.35">
      <c r="A258" s="41">
        <f t="shared" si="1"/>
        <v>511</v>
      </c>
      <c r="B258" s="30" t="s">
        <v>2088</v>
      </c>
      <c r="C258" s="39" t="s">
        <v>1562</v>
      </c>
      <c r="D258" s="29" t="s">
        <v>183</v>
      </c>
      <c r="E258" s="32" t="s">
        <v>2089</v>
      </c>
      <c r="F258" s="33" t="s">
        <v>1246</v>
      </c>
      <c r="G258" s="40">
        <v>46139</v>
      </c>
      <c r="H258" s="35">
        <v>25240</v>
      </c>
      <c r="I258" s="36"/>
      <c r="J258" s="35">
        <f>SUM(Table1[[#This Row],[LC Value]:[Amd Value]])</f>
        <v>25240</v>
      </c>
      <c r="K258" s="36">
        <v>3.4</v>
      </c>
      <c r="L258" s="37">
        <v>6600</v>
      </c>
      <c r="M258" s="33" t="s">
        <v>868</v>
      </c>
      <c r="N258" s="33" t="s">
        <v>1560</v>
      </c>
      <c r="O258" s="38" t="str">
        <f>IFERROR(_xlfn.XLOOKUP(C258, Data!$A$2:$A$236, Data!$C$2:$C$236), "")</f>
        <v>Director Sir</v>
      </c>
    </row>
    <row r="259" spans="1:15" ht="42" customHeight="1" x14ac:dyDescent="0.35">
      <c r="A259" s="41">
        <f t="shared" si="1"/>
        <v>510</v>
      </c>
      <c r="B259" s="30" t="s">
        <v>2085</v>
      </c>
      <c r="C259" s="39" t="s">
        <v>199</v>
      </c>
      <c r="D259" s="29" t="s">
        <v>353</v>
      </c>
      <c r="E259" s="32" t="s">
        <v>2130</v>
      </c>
      <c r="F259" s="33" t="s">
        <v>2082</v>
      </c>
      <c r="G259" s="40">
        <v>46139</v>
      </c>
      <c r="H259" s="35">
        <v>292445</v>
      </c>
      <c r="I259" s="36"/>
      <c r="J259" s="35">
        <f>SUM(Table1[[#This Row],[LC Value]:[Amd Value]])</f>
        <v>292445</v>
      </c>
      <c r="K259" s="36">
        <v>3.05</v>
      </c>
      <c r="L259" s="37">
        <v>94950</v>
      </c>
      <c r="M259" s="33" t="s">
        <v>868</v>
      </c>
      <c r="N259" s="33" t="s">
        <v>1082</v>
      </c>
      <c r="O259" s="38" t="str">
        <f>IFERROR(_xlfn.XLOOKUP(C259, Data!$A$2:$A$236, Data!$C$2:$C$236), "")</f>
        <v>MD. Sir</v>
      </c>
    </row>
    <row r="260" spans="1:15" ht="42" customHeight="1" x14ac:dyDescent="0.35">
      <c r="A260" s="41">
        <f t="shared" si="1"/>
        <v>509</v>
      </c>
      <c r="B260" s="30" t="s">
        <v>2083</v>
      </c>
      <c r="C260" s="39" t="s">
        <v>200</v>
      </c>
      <c r="D260" s="29" t="s">
        <v>98</v>
      </c>
      <c r="E260" s="32" t="s">
        <v>2084</v>
      </c>
      <c r="F260" s="33" t="s">
        <v>2082</v>
      </c>
      <c r="G260" s="40">
        <v>46135</v>
      </c>
      <c r="H260" s="35">
        <v>26115</v>
      </c>
      <c r="I260" s="36"/>
      <c r="J260" s="35">
        <f>SUM(Table1[[#This Row],[LC Value]:[Amd Value]])</f>
        <v>26115</v>
      </c>
      <c r="K260" s="36">
        <v>3.6</v>
      </c>
      <c r="L260" s="37">
        <v>7200</v>
      </c>
      <c r="M260" s="33" t="s">
        <v>868</v>
      </c>
      <c r="N260" s="33" t="s">
        <v>1082</v>
      </c>
      <c r="O260" s="38" t="str">
        <f>IFERROR(_xlfn.XLOOKUP(C260, Data!$A$2:$A$236, Data!$C$2:$C$236), "")</f>
        <v>MD. Sir</v>
      </c>
    </row>
    <row r="261" spans="1:15" ht="42" customHeight="1" x14ac:dyDescent="0.35">
      <c r="A261" s="41">
        <f t="shared" si="1"/>
        <v>508</v>
      </c>
      <c r="B261" s="30" t="s">
        <v>2080</v>
      </c>
      <c r="C261" s="39" t="s">
        <v>212</v>
      </c>
      <c r="D261" s="29" t="s">
        <v>1487</v>
      </c>
      <c r="E261" s="32" t="s">
        <v>2081</v>
      </c>
      <c r="F261" s="33" t="s">
        <v>2082</v>
      </c>
      <c r="G261" s="40">
        <v>46139</v>
      </c>
      <c r="H261" s="35">
        <v>36735</v>
      </c>
      <c r="I261" s="36"/>
      <c r="J261" s="35">
        <f>SUM(Table1[[#This Row],[LC Value]:[Amd Value]])</f>
        <v>36735</v>
      </c>
      <c r="K261" s="36">
        <v>3.95</v>
      </c>
      <c r="L261" s="37">
        <v>9300</v>
      </c>
      <c r="M261" s="33" t="s">
        <v>868</v>
      </c>
      <c r="N261" s="33" t="s">
        <v>1082</v>
      </c>
      <c r="O261" s="38" t="str">
        <f>IFERROR(_xlfn.XLOOKUP(C261, Data!$A$2:$A$236, Data!$C$2:$C$236), "")</f>
        <v>Mr. Reza Sir</v>
      </c>
    </row>
    <row r="262" spans="1:15" ht="42" customHeight="1" x14ac:dyDescent="0.35">
      <c r="A262" s="41">
        <f t="shared" si="1"/>
        <v>507</v>
      </c>
      <c r="B262" s="30" t="s">
        <v>2078</v>
      </c>
      <c r="C262" s="39" t="s">
        <v>90</v>
      </c>
      <c r="D262" s="29" t="s">
        <v>739</v>
      </c>
      <c r="E262" s="32" t="s">
        <v>2079</v>
      </c>
      <c r="F262" s="33" t="s">
        <v>1094</v>
      </c>
      <c r="G262" s="40">
        <v>46134</v>
      </c>
      <c r="H262" s="35">
        <f>416250+34000+73000</f>
        <v>523250</v>
      </c>
      <c r="I262" s="36"/>
      <c r="J262" s="35">
        <f>SUM(Table1[[#This Row],[LC Value]:[Amd Value]])</f>
        <v>523250</v>
      </c>
      <c r="K262" s="36">
        <v>9.25</v>
      </c>
      <c r="L262" s="37">
        <v>75000</v>
      </c>
      <c r="M262" s="33" t="s">
        <v>868</v>
      </c>
      <c r="N262" s="33" t="s">
        <v>1082</v>
      </c>
      <c r="O262" s="38" t="str">
        <f>IFERROR(_xlfn.XLOOKUP(C262, Data!$A$2:$A$236, Data!$C$2:$C$236), "")</f>
        <v>Mr. Wadud Sir</v>
      </c>
    </row>
    <row r="263" spans="1:15" ht="42" customHeight="1" x14ac:dyDescent="0.35">
      <c r="A263" s="41">
        <f t="shared" si="1"/>
        <v>506</v>
      </c>
      <c r="B263" s="30" t="s">
        <v>2076</v>
      </c>
      <c r="C263" s="39" t="s">
        <v>214</v>
      </c>
      <c r="D263" s="29" t="s">
        <v>224</v>
      </c>
      <c r="E263" s="32" t="s">
        <v>2077</v>
      </c>
      <c r="F263" s="33" t="s">
        <v>1209</v>
      </c>
      <c r="G263" s="40">
        <v>46133</v>
      </c>
      <c r="H263" s="35">
        <v>35280</v>
      </c>
      <c r="I263" s="36"/>
      <c r="J263" s="35">
        <f>SUM(Table1[[#This Row],[LC Value]:[Amd Value]])</f>
        <v>35280</v>
      </c>
      <c r="K263" s="36">
        <v>3.6</v>
      </c>
      <c r="L263" s="37">
        <v>9800</v>
      </c>
      <c r="M263" s="33" t="s">
        <v>1131</v>
      </c>
      <c r="N263" s="33" t="s">
        <v>1457</v>
      </c>
      <c r="O263" s="38" t="str">
        <f>IFERROR(_xlfn.XLOOKUP(C263, Data!$A$2:$A$236, Data!$C$2:$C$236), "")</f>
        <v>Mr. Lipu Sir</v>
      </c>
    </row>
    <row r="264" spans="1:15" ht="42" customHeight="1" x14ac:dyDescent="0.35">
      <c r="A264" s="41">
        <f t="shared" si="1"/>
        <v>505</v>
      </c>
      <c r="B264" s="30" t="s">
        <v>2074</v>
      </c>
      <c r="C264" s="39" t="s">
        <v>200</v>
      </c>
      <c r="D264" s="29" t="s">
        <v>79</v>
      </c>
      <c r="E264" s="32" t="s">
        <v>2075</v>
      </c>
      <c r="F264" s="33" t="s">
        <v>931</v>
      </c>
      <c r="G264" s="40">
        <v>46135</v>
      </c>
      <c r="H264" s="35">
        <v>44115</v>
      </c>
      <c r="I264" s="36"/>
      <c r="J264" s="35">
        <f>SUM(Table1[[#This Row],[LC Value]:[Amd Value]])</f>
        <v>44115</v>
      </c>
      <c r="K264" s="36">
        <v>3</v>
      </c>
      <c r="L264" s="37">
        <v>13450</v>
      </c>
      <c r="M264" s="33" t="s">
        <v>868</v>
      </c>
      <c r="N264" s="33" t="s">
        <v>2022</v>
      </c>
      <c r="O264" s="38" t="str">
        <f>IFERROR(_xlfn.XLOOKUP(C264, Data!$A$2:$A$236, Data!$C$2:$C$236), "")</f>
        <v>MD. Sir</v>
      </c>
    </row>
    <row r="265" spans="1:15" ht="42" customHeight="1" x14ac:dyDescent="0.35">
      <c r="A265" s="41">
        <f t="shared" si="1"/>
        <v>504</v>
      </c>
      <c r="B265" s="30" t="s">
        <v>2064</v>
      </c>
      <c r="C265" s="39" t="s">
        <v>199</v>
      </c>
      <c r="D265" s="29" t="s">
        <v>98</v>
      </c>
      <c r="E265" s="32" t="s">
        <v>2065</v>
      </c>
      <c r="F265" s="33" t="s">
        <v>931</v>
      </c>
      <c r="G265" s="40">
        <v>46134</v>
      </c>
      <c r="H265" s="35">
        <f>247800+165150+53440</f>
        <v>466390</v>
      </c>
      <c r="I265" s="36"/>
      <c r="J265" s="35">
        <f>SUM(Table1[[#This Row],[LC Value]:[Amd Value]])</f>
        <v>466390</v>
      </c>
      <c r="K265" s="36">
        <v>3</v>
      </c>
      <c r="L265" s="37">
        <f>82600+55050+15800</f>
        <v>153450</v>
      </c>
      <c r="M265" s="33" t="s">
        <v>868</v>
      </c>
      <c r="N265" s="33" t="s">
        <v>2022</v>
      </c>
      <c r="O265" s="38" t="str">
        <f>IFERROR(_xlfn.XLOOKUP(C265, Data!$A$2:$A$236, Data!$C$2:$C$236), "")</f>
        <v>MD. Sir</v>
      </c>
    </row>
    <row r="266" spans="1:15" ht="42" customHeight="1" x14ac:dyDescent="0.35">
      <c r="A266" s="41">
        <f t="shared" si="1"/>
        <v>503</v>
      </c>
      <c r="B266" s="30" t="s">
        <v>2060</v>
      </c>
      <c r="C266" s="39" t="s">
        <v>20</v>
      </c>
      <c r="D266" s="29" t="s">
        <v>2061</v>
      </c>
      <c r="E266" s="32" t="s">
        <v>2062</v>
      </c>
      <c r="F266" s="33" t="s">
        <v>843</v>
      </c>
      <c r="G266" s="40">
        <v>46133</v>
      </c>
      <c r="H266" s="35">
        <v>8800</v>
      </c>
      <c r="I266" s="36"/>
      <c r="J266" s="35">
        <f>SUM(Table1[[#This Row],[LC Value]:[Amd Value]])</f>
        <v>8800</v>
      </c>
      <c r="K266" s="36">
        <v>4.4000000000000004</v>
      </c>
      <c r="L266" s="37">
        <v>2000</v>
      </c>
      <c r="M266" s="33" t="s">
        <v>868</v>
      </c>
      <c r="N266" s="33" t="s">
        <v>2022</v>
      </c>
      <c r="O266" s="38" t="str">
        <f>IFERROR(_xlfn.XLOOKUP(C266, Data!$A$2:$A$236, Data!$C$2:$C$236), "")</f>
        <v>Mr. Reza Sir</v>
      </c>
    </row>
    <row r="267" spans="1:15" ht="42" customHeight="1" x14ac:dyDescent="0.35">
      <c r="A267" s="41">
        <f t="shared" si="1"/>
        <v>502</v>
      </c>
      <c r="B267" s="30" t="s">
        <v>2055</v>
      </c>
      <c r="C267" s="39" t="s">
        <v>2056</v>
      </c>
      <c r="D267" s="29" t="s">
        <v>2057</v>
      </c>
      <c r="E267" s="32" t="s">
        <v>2058</v>
      </c>
      <c r="F267" s="33" t="s">
        <v>931</v>
      </c>
      <c r="G267" s="40">
        <v>46135</v>
      </c>
      <c r="H267" s="35">
        <v>9900</v>
      </c>
      <c r="I267" s="36"/>
      <c r="J267" s="35">
        <f>SUM(Table1[[#This Row],[LC Value]:[Amd Value]])</f>
        <v>9900</v>
      </c>
      <c r="K267" s="36">
        <v>3.3</v>
      </c>
      <c r="L267" s="37">
        <v>3000</v>
      </c>
      <c r="M267" s="33" t="s">
        <v>868</v>
      </c>
      <c r="N267" s="33" t="s">
        <v>2022</v>
      </c>
      <c r="O267" s="38" t="str">
        <f>IFERROR(_xlfn.XLOOKUP(C267, Data!$A$2:$A$236, Data!$C$2:$C$236), "")</f>
        <v>Mr. Lipu Sir</v>
      </c>
    </row>
    <row r="268" spans="1:15" ht="42" customHeight="1" x14ac:dyDescent="0.35">
      <c r="A268" s="41">
        <f t="shared" si="1"/>
        <v>501</v>
      </c>
      <c r="B268" s="30" t="s">
        <v>2053</v>
      </c>
      <c r="C268" s="39" t="s">
        <v>174</v>
      </c>
      <c r="D268" s="29" t="s">
        <v>2691</v>
      </c>
      <c r="E268" s="32" t="s">
        <v>2054</v>
      </c>
      <c r="F268" s="33" t="s">
        <v>1094</v>
      </c>
      <c r="G268" s="40">
        <v>46133</v>
      </c>
      <c r="H268" s="35">
        <v>40057.5</v>
      </c>
      <c r="I268" s="36"/>
      <c r="J268" s="35">
        <f>SUM(Table1[[#This Row],[LC Value]:[Amd Value]])</f>
        <v>40057.5</v>
      </c>
      <c r="K268" s="36">
        <v>3.75</v>
      </c>
      <c r="L268" s="37">
        <v>10550</v>
      </c>
      <c r="M268" s="33" t="s">
        <v>868</v>
      </c>
      <c r="N268" s="33" t="s">
        <v>2022</v>
      </c>
      <c r="O268" s="38" t="str">
        <f>IFERROR(_xlfn.XLOOKUP(C268, Data!$A$2:$A$236, Data!$C$2:$C$236), "")</f>
        <v>Mr. Reza Sir</v>
      </c>
    </row>
    <row r="269" spans="1:15" ht="42" customHeight="1" x14ac:dyDescent="0.35">
      <c r="A269" s="41">
        <f t="shared" si="1"/>
        <v>500</v>
      </c>
      <c r="B269" s="30" t="s">
        <v>2051</v>
      </c>
      <c r="C269" s="39" t="s">
        <v>174</v>
      </c>
      <c r="D269" s="29" t="s">
        <v>2691</v>
      </c>
      <c r="E269" s="32" t="s">
        <v>2052</v>
      </c>
      <c r="F269" s="33" t="s">
        <v>1094</v>
      </c>
      <c r="G269" s="40">
        <v>46133</v>
      </c>
      <c r="H269" s="35">
        <v>19225</v>
      </c>
      <c r="I269" s="36"/>
      <c r="J269" s="35">
        <f>SUM(Table1[[#This Row],[LC Value]:[Amd Value]])</f>
        <v>19225</v>
      </c>
      <c r="K269" s="36">
        <v>3.8</v>
      </c>
      <c r="L269" s="37">
        <v>5000</v>
      </c>
      <c r="M269" s="33" t="s">
        <v>868</v>
      </c>
      <c r="N269" s="33" t="s">
        <v>2022</v>
      </c>
      <c r="O269" s="38" t="str">
        <f>IFERROR(_xlfn.XLOOKUP(C269, Data!$A$2:$A$236, Data!$C$2:$C$236), "")</f>
        <v>Mr. Reza Sir</v>
      </c>
    </row>
    <row r="270" spans="1:15" ht="42" customHeight="1" x14ac:dyDescent="0.35">
      <c r="A270" s="41">
        <f t="shared" si="1"/>
        <v>499</v>
      </c>
      <c r="B270" s="30" t="s">
        <v>2049</v>
      </c>
      <c r="C270" s="39" t="s">
        <v>174</v>
      </c>
      <c r="D270" s="29" t="s">
        <v>2691</v>
      </c>
      <c r="E270" s="32" t="s">
        <v>2050</v>
      </c>
      <c r="F270" s="33" t="s">
        <v>1094</v>
      </c>
      <c r="G270" s="40">
        <v>46133</v>
      </c>
      <c r="H270" s="35">
        <v>32680</v>
      </c>
      <c r="I270" s="36"/>
      <c r="J270" s="35">
        <f>SUM(Table1[[#This Row],[LC Value]:[Amd Value]])</f>
        <v>32680</v>
      </c>
      <c r="K270" s="36">
        <v>3.8</v>
      </c>
      <c r="L270" s="37">
        <v>8600</v>
      </c>
      <c r="M270" s="33" t="s">
        <v>868</v>
      </c>
      <c r="N270" s="33" t="s">
        <v>2022</v>
      </c>
      <c r="O270" s="38" t="str">
        <f>IFERROR(_xlfn.XLOOKUP(C270, Data!$A$2:$A$236, Data!$C$2:$C$236), "")</f>
        <v>Mr. Reza Sir</v>
      </c>
    </row>
    <row r="271" spans="1:15" ht="42" customHeight="1" x14ac:dyDescent="0.35">
      <c r="A271" s="41">
        <f t="shared" si="1"/>
        <v>498</v>
      </c>
      <c r="B271" s="30" t="s">
        <v>2047</v>
      </c>
      <c r="C271" s="39" t="s">
        <v>64</v>
      </c>
      <c r="D271" s="29" t="s">
        <v>21</v>
      </c>
      <c r="E271" s="32" t="s">
        <v>2048</v>
      </c>
      <c r="F271" s="33" t="s">
        <v>1094</v>
      </c>
      <c r="G271" s="40">
        <v>46134</v>
      </c>
      <c r="H271" s="35">
        <v>28600</v>
      </c>
      <c r="I271" s="36">
        <v>16645</v>
      </c>
      <c r="J271" s="35">
        <f>SUM(Table1[[#This Row],[LC Value]:[Amd Value]])</f>
        <v>45245</v>
      </c>
      <c r="K271" s="36">
        <v>3.35</v>
      </c>
      <c r="L271" s="37">
        <v>8000</v>
      </c>
      <c r="M271" s="33" t="s">
        <v>868</v>
      </c>
      <c r="N271" s="33" t="s">
        <v>2022</v>
      </c>
      <c r="O271" s="38" t="str">
        <f>IFERROR(_xlfn.XLOOKUP(C271, Data!$A$2:$A$236, Data!$C$2:$C$236), "")</f>
        <v>Mr. Reza Sir</v>
      </c>
    </row>
    <row r="272" spans="1:15" ht="42" customHeight="1" x14ac:dyDescent="0.35">
      <c r="A272" s="41">
        <f t="shared" si="1"/>
        <v>497</v>
      </c>
      <c r="B272" s="30" t="s">
        <v>2043</v>
      </c>
      <c r="C272" s="39" t="s">
        <v>2044</v>
      </c>
      <c r="D272" s="29" t="s">
        <v>98</v>
      </c>
      <c r="E272" s="32" t="s">
        <v>2045</v>
      </c>
      <c r="F272" s="33" t="s">
        <v>1094</v>
      </c>
      <c r="G272" s="40">
        <v>46134</v>
      </c>
      <c r="H272" s="35">
        <v>13860</v>
      </c>
      <c r="I272" s="36"/>
      <c r="J272" s="35">
        <f>SUM(Table1[[#This Row],[LC Value]:[Amd Value]])</f>
        <v>13860</v>
      </c>
      <c r="K272" s="36">
        <v>2.8</v>
      </c>
      <c r="L272" s="37">
        <v>18550</v>
      </c>
      <c r="M272" s="33" t="s">
        <v>868</v>
      </c>
      <c r="N272" s="33" t="s">
        <v>2022</v>
      </c>
      <c r="O272" s="38" t="str">
        <f>IFERROR(_xlfn.XLOOKUP(C272, Data!$A$2:$A$236, Data!$C$2:$C$236), "")</f>
        <v>Mr. Amran Sir</v>
      </c>
    </row>
    <row r="273" spans="1:15" ht="42" customHeight="1" x14ac:dyDescent="0.35">
      <c r="A273" s="41">
        <f t="shared" si="1"/>
        <v>496</v>
      </c>
      <c r="B273" s="30" t="s">
        <v>2041</v>
      </c>
      <c r="C273" s="39" t="s">
        <v>201</v>
      </c>
      <c r="D273" s="29" t="s">
        <v>96</v>
      </c>
      <c r="E273" s="32" t="s">
        <v>2042</v>
      </c>
      <c r="F273" s="33" t="s">
        <v>1094</v>
      </c>
      <c r="G273" s="40">
        <v>46134</v>
      </c>
      <c r="H273" s="35">
        <v>15200</v>
      </c>
      <c r="I273" s="36"/>
      <c r="J273" s="35">
        <f>SUM(Table1[[#This Row],[LC Value]:[Amd Value]])</f>
        <v>15200</v>
      </c>
      <c r="K273" s="36">
        <v>2.8</v>
      </c>
      <c r="L273" s="37">
        <v>18550</v>
      </c>
      <c r="M273" s="33" t="s">
        <v>868</v>
      </c>
      <c r="N273" s="33" t="s">
        <v>2022</v>
      </c>
      <c r="O273" s="38" t="str">
        <f>IFERROR(_xlfn.XLOOKUP(C273, Data!$A$2:$A$236, Data!$C$2:$C$236), "")</f>
        <v>Director Sir</v>
      </c>
    </row>
    <row r="274" spans="1:15" ht="42" customHeight="1" x14ac:dyDescent="0.35">
      <c r="A274" s="41">
        <f t="shared" si="1"/>
        <v>495</v>
      </c>
      <c r="B274" s="30" t="s">
        <v>2032</v>
      </c>
      <c r="C274" s="39" t="s">
        <v>199</v>
      </c>
      <c r="D274" s="29" t="s">
        <v>98</v>
      </c>
      <c r="E274" s="32" t="s">
        <v>2034</v>
      </c>
      <c r="F274" s="33" t="s">
        <v>1094</v>
      </c>
      <c r="G274" s="40">
        <v>46134</v>
      </c>
      <c r="H274" s="35">
        <v>51382.5</v>
      </c>
      <c r="I274" s="36"/>
      <c r="J274" s="35">
        <f>SUM(Table1[[#This Row],[LC Value]:[Amd Value]])</f>
        <v>51382.5</v>
      </c>
      <c r="K274" s="36">
        <v>2.8</v>
      </c>
      <c r="L274" s="37">
        <v>18550</v>
      </c>
      <c r="M274" s="33" t="s">
        <v>868</v>
      </c>
      <c r="N274" s="33" t="s">
        <v>2022</v>
      </c>
      <c r="O274" s="38" t="str">
        <f>IFERROR(_xlfn.XLOOKUP(C274, Data!$A$2:$A$236, Data!$C$2:$C$236), "")</f>
        <v>MD. Sir</v>
      </c>
    </row>
    <row r="275" spans="1:15" ht="42" customHeight="1" x14ac:dyDescent="0.35">
      <c r="A275" s="41">
        <f t="shared" si="1"/>
        <v>494</v>
      </c>
      <c r="B275" s="30" t="s">
        <v>2031</v>
      </c>
      <c r="C275" s="39" t="s">
        <v>199</v>
      </c>
      <c r="D275" s="29" t="s">
        <v>98</v>
      </c>
      <c r="E275" s="32" t="s">
        <v>2033</v>
      </c>
      <c r="F275" s="33" t="s">
        <v>1094</v>
      </c>
      <c r="G275" s="40">
        <v>46134</v>
      </c>
      <c r="H275" s="35">
        <v>106500</v>
      </c>
      <c r="I275" s="36"/>
      <c r="J275" s="35">
        <f>SUM(Table1[[#This Row],[LC Value]:[Amd Value]])</f>
        <v>106500</v>
      </c>
      <c r="K275" s="36">
        <v>2.8</v>
      </c>
      <c r="L275" s="37">
        <v>37150</v>
      </c>
      <c r="M275" s="33" t="s">
        <v>868</v>
      </c>
      <c r="N275" s="33" t="s">
        <v>2022</v>
      </c>
      <c r="O275" s="38" t="str">
        <f>IFERROR(_xlfn.XLOOKUP(C275, Data!$A$2:$A$236, Data!$C$2:$C$236), "")</f>
        <v>MD. Sir</v>
      </c>
    </row>
    <row r="276" spans="1:15" ht="42" customHeight="1" x14ac:dyDescent="0.35">
      <c r="A276" s="41">
        <f t="shared" si="1"/>
        <v>493</v>
      </c>
      <c r="B276" s="30" t="s">
        <v>2029</v>
      </c>
      <c r="C276" s="39" t="s">
        <v>199</v>
      </c>
      <c r="D276" s="29" t="s">
        <v>32</v>
      </c>
      <c r="E276" s="32" t="s">
        <v>2030</v>
      </c>
      <c r="F276" s="33" t="s">
        <v>1094</v>
      </c>
      <c r="G276" s="40">
        <v>46134</v>
      </c>
      <c r="H276" s="35">
        <v>15450</v>
      </c>
      <c r="I276" s="36"/>
      <c r="J276" s="35">
        <f>SUM(Table1[[#This Row],[LC Value]:[Amd Value]])</f>
        <v>15450</v>
      </c>
      <c r="K276" s="36">
        <v>3.3</v>
      </c>
      <c r="L276" s="37">
        <v>4600</v>
      </c>
      <c r="M276" s="33" t="s">
        <v>868</v>
      </c>
      <c r="N276" s="33" t="s">
        <v>2022</v>
      </c>
      <c r="O276" s="38" t="str">
        <f>IFERROR(_xlfn.XLOOKUP(C276, Data!$A$2:$A$236, Data!$C$2:$C$236), "")</f>
        <v>MD. Sir</v>
      </c>
    </row>
    <row r="277" spans="1:15" ht="42" customHeight="1" x14ac:dyDescent="0.35">
      <c r="A277" s="41">
        <f t="shared" si="1"/>
        <v>492</v>
      </c>
      <c r="B277" s="30" t="s">
        <v>2027</v>
      </c>
      <c r="C277" s="39" t="s">
        <v>199</v>
      </c>
      <c r="D277" s="29" t="s">
        <v>98</v>
      </c>
      <c r="E277" s="32" t="s">
        <v>2028</v>
      </c>
      <c r="F277" s="33" t="s">
        <v>1094</v>
      </c>
      <c r="G277" s="40">
        <v>46134</v>
      </c>
      <c r="H277" s="35">
        <v>8572.5</v>
      </c>
      <c r="I277" s="36"/>
      <c r="J277" s="35">
        <f>SUM(Table1[[#This Row],[LC Value]:[Amd Value]])</f>
        <v>8572.5</v>
      </c>
      <c r="K277" s="36">
        <v>3.85</v>
      </c>
      <c r="L277" s="37">
        <v>2250</v>
      </c>
      <c r="M277" s="33" t="s">
        <v>868</v>
      </c>
      <c r="N277" s="33" t="s">
        <v>2022</v>
      </c>
      <c r="O277" s="38" t="str">
        <f>IFERROR(_xlfn.XLOOKUP(C277, Data!$A$2:$A$236, Data!$C$2:$C$236), "")</f>
        <v>MD. Sir</v>
      </c>
    </row>
    <row r="278" spans="1:15" ht="42" customHeight="1" x14ac:dyDescent="0.35">
      <c r="A278" s="41">
        <f t="shared" si="1"/>
        <v>491</v>
      </c>
      <c r="B278" s="30" t="s">
        <v>2025</v>
      </c>
      <c r="C278" s="39" t="s">
        <v>199</v>
      </c>
      <c r="D278" s="29" t="s">
        <v>353</v>
      </c>
      <c r="E278" s="32" t="s">
        <v>2026</v>
      </c>
      <c r="F278" s="33" t="s">
        <v>1094</v>
      </c>
      <c r="G278" s="40">
        <v>46133</v>
      </c>
      <c r="H278" s="35">
        <v>23310</v>
      </c>
      <c r="I278" s="36"/>
      <c r="J278" s="35">
        <f>SUM(Table1[[#This Row],[LC Value]:[Amd Value]])</f>
        <v>23310</v>
      </c>
      <c r="K278" s="36">
        <v>2.6</v>
      </c>
      <c r="L278" s="37">
        <v>7400</v>
      </c>
      <c r="M278" s="33" t="s">
        <v>868</v>
      </c>
      <c r="N278" s="33" t="s">
        <v>2022</v>
      </c>
      <c r="O278" s="38" t="str">
        <f>IFERROR(_xlfn.XLOOKUP(C278, Data!$A$2:$A$236, Data!$C$2:$C$236), "")</f>
        <v>MD. Sir</v>
      </c>
    </row>
    <row r="279" spans="1:15" ht="42" customHeight="1" x14ac:dyDescent="0.35">
      <c r="A279" s="41">
        <f t="shared" si="1"/>
        <v>490</v>
      </c>
      <c r="B279" s="30" t="s">
        <v>2023</v>
      </c>
      <c r="C279" s="39" t="s">
        <v>199</v>
      </c>
      <c r="D279" s="29" t="s">
        <v>353</v>
      </c>
      <c r="E279" s="32" t="s">
        <v>2024</v>
      </c>
      <c r="F279" s="33" t="s">
        <v>1094</v>
      </c>
      <c r="G279" s="40">
        <v>46133</v>
      </c>
      <c r="H279" s="35">
        <v>28600</v>
      </c>
      <c r="I279" s="36"/>
      <c r="J279" s="35">
        <f>SUM(Table1[[#This Row],[LC Value]:[Amd Value]])</f>
        <v>28600</v>
      </c>
      <c r="K279" s="36">
        <v>2.6</v>
      </c>
      <c r="L279" s="37">
        <v>11000</v>
      </c>
      <c r="M279" s="33" t="s">
        <v>868</v>
      </c>
      <c r="N279" s="33" t="s">
        <v>2022</v>
      </c>
      <c r="O279" s="38" t="str">
        <f>IFERROR(_xlfn.XLOOKUP(C279, Data!$A$2:$A$236, Data!$C$2:$C$236), "")</f>
        <v>MD. Sir</v>
      </c>
    </row>
    <row r="280" spans="1:15" ht="42" customHeight="1" x14ac:dyDescent="0.35">
      <c r="A280" s="41">
        <f t="shared" si="1"/>
        <v>489</v>
      </c>
      <c r="B280" s="30" t="s">
        <v>2020</v>
      </c>
      <c r="C280" s="39" t="s">
        <v>199</v>
      </c>
      <c r="D280" s="29" t="s">
        <v>353</v>
      </c>
      <c r="E280" s="32" t="s">
        <v>2021</v>
      </c>
      <c r="F280" s="33" t="s">
        <v>1094</v>
      </c>
      <c r="G280" s="40">
        <v>46133</v>
      </c>
      <c r="H280" s="35">
        <v>222275</v>
      </c>
      <c r="I280" s="36"/>
      <c r="J280" s="35">
        <f>SUM(Table1[[#This Row],[LC Value]:[Amd Value]])</f>
        <v>222275</v>
      </c>
      <c r="K280" s="36">
        <v>2.5</v>
      </c>
      <c r="L280" s="37">
        <v>73250</v>
      </c>
      <c r="M280" s="33" t="s">
        <v>868</v>
      </c>
      <c r="N280" s="33" t="s">
        <v>2022</v>
      </c>
      <c r="O280" s="38" t="str">
        <f>IFERROR(_xlfn.XLOOKUP(C280, Data!$A$2:$A$236, Data!$C$2:$C$236), "")</f>
        <v>MD. Sir</v>
      </c>
    </row>
    <row r="281" spans="1:15" ht="42" customHeight="1" x14ac:dyDescent="0.35">
      <c r="A281" s="41">
        <f t="shared" si="1"/>
        <v>488</v>
      </c>
      <c r="B281" s="30" t="s">
        <v>2018</v>
      </c>
      <c r="C281" s="39" t="s">
        <v>1562</v>
      </c>
      <c r="D281" s="29" t="s">
        <v>81</v>
      </c>
      <c r="E281" s="32" t="s">
        <v>2019</v>
      </c>
      <c r="F281" s="33" t="s">
        <v>1209</v>
      </c>
      <c r="G281" s="40">
        <v>46133</v>
      </c>
      <c r="H281" s="35">
        <v>31200</v>
      </c>
      <c r="I281" s="36"/>
      <c r="J281" s="35">
        <f>SUM(Table1[[#This Row],[LC Value]:[Amd Value]])</f>
        <v>31200</v>
      </c>
      <c r="K281" s="36">
        <v>3.25</v>
      </c>
      <c r="L281" s="37">
        <v>9600</v>
      </c>
      <c r="M281" s="33" t="s">
        <v>868</v>
      </c>
      <c r="N281" s="33" t="s">
        <v>1560</v>
      </c>
      <c r="O281" s="38" t="str">
        <f>IFERROR(_xlfn.XLOOKUP(C281, Data!$A$2:$A$236, Data!$C$2:$C$236), "")</f>
        <v>Director Sir</v>
      </c>
    </row>
    <row r="282" spans="1:15" ht="42" customHeight="1" x14ac:dyDescent="0.35">
      <c r="A282" s="41">
        <f t="shared" si="1"/>
        <v>487</v>
      </c>
      <c r="B282" s="30" t="s">
        <v>2015</v>
      </c>
      <c r="C282" s="39" t="s">
        <v>162</v>
      </c>
      <c r="D282" s="29" t="s">
        <v>1034</v>
      </c>
      <c r="E282" s="32" t="s">
        <v>2016</v>
      </c>
      <c r="F282" s="33" t="s">
        <v>843</v>
      </c>
      <c r="G282" s="40">
        <v>46132</v>
      </c>
      <c r="H282" s="35">
        <v>18000</v>
      </c>
      <c r="I282" s="36"/>
      <c r="J282" s="35">
        <f>SUM(Table1[[#This Row],[LC Value]:[Amd Value]])</f>
        <v>18000</v>
      </c>
      <c r="K282" s="36">
        <v>3.6</v>
      </c>
      <c r="L282" s="37">
        <v>5000</v>
      </c>
      <c r="M282" s="33" t="s">
        <v>1172</v>
      </c>
      <c r="N282" s="33" t="s">
        <v>1485</v>
      </c>
      <c r="O282" s="38" t="str">
        <f>IFERROR(_xlfn.XLOOKUP(C282, Data!$A$2:$A$236, Data!$C$2:$C$236), "")</f>
        <v>Mr. Reza Sir</v>
      </c>
    </row>
    <row r="283" spans="1:15" ht="42" customHeight="1" x14ac:dyDescent="0.35">
      <c r="A283" s="41">
        <f t="shared" si="1"/>
        <v>486</v>
      </c>
      <c r="B283" s="30" t="s">
        <v>2013</v>
      </c>
      <c r="C283" s="31" t="s">
        <v>238</v>
      </c>
      <c r="D283" s="29" t="s">
        <v>194</v>
      </c>
      <c r="E283" s="32" t="s">
        <v>2014</v>
      </c>
      <c r="F283" s="33" t="s">
        <v>968</v>
      </c>
      <c r="G283" s="34">
        <v>46130</v>
      </c>
      <c r="H283" s="35">
        <v>36077.5</v>
      </c>
      <c r="I283" s="36"/>
      <c r="J283" s="35">
        <f>SUM(Table1[[#This Row],[LC Value]:[Amd Value]])</f>
        <v>36077.5</v>
      </c>
      <c r="K283" s="36">
        <v>3.25</v>
      </c>
      <c r="L283" s="37">
        <v>2100</v>
      </c>
      <c r="M283" s="33" t="s">
        <v>1560</v>
      </c>
      <c r="N283" s="33" t="s">
        <v>1996</v>
      </c>
      <c r="O283" s="38" t="str">
        <f>IFERROR(_xlfn.XLOOKUP(C283, Data!$A$2:$A$236, Data!$C$2:$C$236), "")</f>
        <v>Mr. Reza Sir</v>
      </c>
    </row>
    <row r="284" spans="1:15" ht="42" customHeight="1" x14ac:dyDescent="0.35">
      <c r="A284" s="41">
        <f t="shared" si="1"/>
        <v>485</v>
      </c>
      <c r="B284" s="30" t="s">
        <v>2007</v>
      </c>
      <c r="C284" s="39" t="s">
        <v>199</v>
      </c>
      <c r="D284" s="29" t="s">
        <v>98</v>
      </c>
      <c r="E284" s="32" t="s">
        <v>2008</v>
      </c>
      <c r="F284" s="33" t="s">
        <v>968</v>
      </c>
      <c r="G284" s="40">
        <v>46134</v>
      </c>
      <c r="H284" s="35">
        <v>10395</v>
      </c>
      <c r="I284" s="36"/>
      <c r="J284" s="35">
        <f>SUM(Table1[[#This Row],[LC Value]:[Amd Value]])</f>
        <v>10395</v>
      </c>
      <c r="K284" s="36">
        <v>3.25</v>
      </c>
      <c r="L284" s="37">
        <v>2100</v>
      </c>
      <c r="M284" s="33" t="s">
        <v>1560</v>
      </c>
      <c r="N284" s="33" t="s">
        <v>1996</v>
      </c>
      <c r="O284" s="38" t="str">
        <f>IFERROR(_xlfn.XLOOKUP(C284, Data!$A$2:$A$236, Data!$C$2:$C$236), "")</f>
        <v>MD. Sir</v>
      </c>
    </row>
    <row r="285" spans="1:15" ht="42" customHeight="1" x14ac:dyDescent="0.35">
      <c r="A285" s="41">
        <f t="shared" si="1"/>
        <v>484</v>
      </c>
      <c r="B285" s="30" t="s">
        <v>2005</v>
      </c>
      <c r="C285" s="39" t="s">
        <v>199</v>
      </c>
      <c r="D285" s="29" t="s">
        <v>98</v>
      </c>
      <c r="E285" s="32" t="s">
        <v>2006</v>
      </c>
      <c r="F285" s="33" t="s">
        <v>968</v>
      </c>
      <c r="G285" s="40">
        <v>46133</v>
      </c>
      <c r="H285" s="35">
        <v>109937.5</v>
      </c>
      <c r="I285" s="36"/>
      <c r="J285" s="35">
        <f>SUM(Table1[[#This Row],[LC Value]:[Amd Value]])</f>
        <v>109937.5</v>
      </c>
      <c r="K285" s="36">
        <v>3.25</v>
      </c>
      <c r="L285" s="37">
        <v>37650</v>
      </c>
      <c r="M285" s="33" t="s">
        <v>1560</v>
      </c>
      <c r="N285" s="33" t="s">
        <v>1996</v>
      </c>
      <c r="O285" s="38" t="str">
        <f>IFERROR(_xlfn.XLOOKUP(C285, Data!$A$2:$A$236, Data!$C$2:$C$236), "")</f>
        <v>MD. Sir</v>
      </c>
    </row>
    <row r="286" spans="1:15" ht="42" customHeight="1" x14ac:dyDescent="0.35">
      <c r="A286" s="41">
        <f t="shared" si="1"/>
        <v>483</v>
      </c>
      <c r="B286" s="30" t="s">
        <v>2003</v>
      </c>
      <c r="C286" s="39" t="s">
        <v>199</v>
      </c>
      <c r="D286" s="29" t="s">
        <v>32</v>
      </c>
      <c r="E286" s="32" t="s">
        <v>2004</v>
      </c>
      <c r="F286" s="33" t="s">
        <v>968</v>
      </c>
      <c r="G286" s="40">
        <v>46133</v>
      </c>
      <c r="H286" s="35">
        <v>33902.5</v>
      </c>
      <c r="I286" s="36"/>
      <c r="J286" s="35">
        <f>SUM(Table1[[#This Row],[LC Value]:[Amd Value]])</f>
        <v>33902.5</v>
      </c>
      <c r="K286" s="36">
        <v>3.25</v>
      </c>
      <c r="L286" s="37">
        <v>4750</v>
      </c>
      <c r="M286" s="33" t="s">
        <v>1560</v>
      </c>
      <c r="N286" s="33" t="s">
        <v>1996</v>
      </c>
      <c r="O286" s="38" t="str">
        <f>IFERROR(_xlfn.XLOOKUP(C286, Data!$A$2:$A$236, Data!$C$2:$C$236), "")</f>
        <v>MD. Sir</v>
      </c>
    </row>
    <row r="287" spans="1:15" ht="42" customHeight="1" x14ac:dyDescent="0.35">
      <c r="A287" s="41">
        <f t="shared" si="1"/>
        <v>482</v>
      </c>
      <c r="B287" s="30" t="s">
        <v>2001</v>
      </c>
      <c r="C287" s="39" t="s">
        <v>174</v>
      </c>
      <c r="D287" s="29" t="s">
        <v>2691</v>
      </c>
      <c r="E287" s="32" t="s">
        <v>2002</v>
      </c>
      <c r="F287" s="33" t="s">
        <v>843</v>
      </c>
      <c r="G287" s="40">
        <v>46132</v>
      </c>
      <c r="H287" s="35">
        <v>17607.5</v>
      </c>
      <c r="I287" s="36"/>
      <c r="J287" s="35">
        <f>SUM(Table1[[#This Row],[LC Value]:[Amd Value]])</f>
        <v>17607.5</v>
      </c>
      <c r="K287" s="36">
        <v>3.25</v>
      </c>
      <c r="L287" s="37">
        <v>4750</v>
      </c>
      <c r="M287" s="33" t="s">
        <v>1560</v>
      </c>
      <c r="N287" s="33" t="s">
        <v>1996</v>
      </c>
      <c r="O287" s="38" t="str">
        <f>IFERROR(_xlfn.XLOOKUP(C287, Data!$A$2:$A$236, Data!$C$2:$C$236), "")</f>
        <v>Mr. Reza Sir</v>
      </c>
    </row>
    <row r="288" spans="1:15" ht="42" customHeight="1" x14ac:dyDescent="0.35">
      <c r="A288" s="41">
        <f t="shared" si="1"/>
        <v>481</v>
      </c>
      <c r="B288" s="30" t="s">
        <v>1995</v>
      </c>
      <c r="C288" s="39" t="s">
        <v>1393</v>
      </c>
      <c r="D288" s="29" t="s">
        <v>1454</v>
      </c>
      <c r="E288" s="32" t="s">
        <v>1999</v>
      </c>
      <c r="F288" s="33" t="s">
        <v>968</v>
      </c>
      <c r="G288" s="40">
        <v>46133</v>
      </c>
      <c r="H288" s="35">
        <v>16942.5</v>
      </c>
      <c r="I288" s="36"/>
      <c r="J288" s="35">
        <f>SUM(Table1[[#This Row],[LC Value]:[Amd Value]])</f>
        <v>16942.5</v>
      </c>
      <c r="K288" s="36">
        <v>3.25</v>
      </c>
      <c r="L288" s="37">
        <v>5250</v>
      </c>
      <c r="M288" s="33" t="s">
        <v>1560</v>
      </c>
      <c r="N288" s="33" t="s">
        <v>1996</v>
      </c>
      <c r="O288" s="38" t="str">
        <f>IFERROR(_xlfn.XLOOKUP(C288, Data!$A$2:$A$236, Data!$C$2:$C$236), "")</f>
        <v>Mr. Lipu Sir</v>
      </c>
    </row>
    <row r="289" spans="1:15" ht="42" customHeight="1" x14ac:dyDescent="0.35">
      <c r="A289" s="41">
        <f t="shared" si="1"/>
        <v>480</v>
      </c>
      <c r="B289" s="30" t="s">
        <v>1993</v>
      </c>
      <c r="C289" s="39" t="s">
        <v>90</v>
      </c>
      <c r="D289" s="29" t="s">
        <v>21</v>
      </c>
      <c r="E289" s="32" t="s">
        <v>1994</v>
      </c>
      <c r="F289" s="33" t="s">
        <v>968</v>
      </c>
      <c r="G289" s="40">
        <v>46133</v>
      </c>
      <c r="H289" s="35">
        <v>153000</v>
      </c>
      <c r="I289" s="36"/>
      <c r="J289" s="35">
        <f>SUM(Table1[[#This Row],[LC Value]:[Amd Value]])</f>
        <v>153000</v>
      </c>
      <c r="K289" s="36">
        <v>4</v>
      </c>
      <c r="L289" s="37">
        <v>40000</v>
      </c>
      <c r="M289" s="33" t="s">
        <v>868</v>
      </c>
      <c r="N289" s="33" t="s">
        <v>1082</v>
      </c>
      <c r="O289" s="38" t="str">
        <f>IFERROR(_xlfn.XLOOKUP(C289, Data!$A$2:$A$236, Data!$C$2:$C$236), "")</f>
        <v>Mr. Wadud Sir</v>
      </c>
    </row>
    <row r="290" spans="1:15" ht="42" customHeight="1" x14ac:dyDescent="0.35">
      <c r="A290" s="41">
        <f t="shared" si="1"/>
        <v>479</v>
      </c>
      <c r="B290" s="30" t="s">
        <v>1990</v>
      </c>
      <c r="C290" s="39" t="s">
        <v>44</v>
      </c>
      <c r="D290" s="29" t="s">
        <v>1991</v>
      </c>
      <c r="E290" s="32" t="s">
        <v>1998</v>
      </c>
      <c r="F290" s="33" t="s">
        <v>1929</v>
      </c>
      <c r="G290" s="40">
        <v>46131</v>
      </c>
      <c r="H290" s="35">
        <f>72800+82625</f>
        <v>155425</v>
      </c>
      <c r="I290" s="36">
        <f>38000+58675+76050</f>
        <v>172725</v>
      </c>
      <c r="J290" s="35">
        <f>SUM(Table1[[#This Row],[LC Value]:[Amd Value]])</f>
        <v>328150</v>
      </c>
      <c r="K290" s="36">
        <v>3.5</v>
      </c>
      <c r="L290" s="37">
        <f>20800+22200</f>
        <v>43000</v>
      </c>
      <c r="M290" s="33" t="s">
        <v>1457</v>
      </c>
      <c r="N290" s="33" t="s">
        <v>1992</v>
      </c>
      <c r="O290" s="38" t="str">
        <f>IFERROR(_xlfn.XLOOKUP(C290, Data!$A$2:$A$236, Data!$C$2:$C$236), "")</f>
        <v>Mr. Amran Sir</v>
      </c>
    </row>
    <row r="291" spans="1:15" ht="42" customHeight="1" x14ac:dyDescent="0.35">
      <c r="A291" s="41">
        <f t="shared" si="1"/>
        <v>478</v>
      </c>
      <c r="B291" s="30" t="s">
        <v>1989</v>
      </c>
      <c r="C291" s="39" t="s">
        <v>124</v>
      </c>
      <c r="D291" s="29" t="s">
        <v>2691</v>
      </c>
      <c r="E291" s="32" t="s">
        <v>1997</v>
      </c>
      <c r="F291" s="33">
        <v>46127</v>
      </c>
      <c r="G291" s="40">
        <v>46134</v>
      </c>
      <c r="H291" s="35">
        <v>227700</v>
      </c>
      <c r="I291" s="36"/>
      <c r="J291" s="35">
        <f>SUM(Table1[[#This Row],[LC Value]:[Amd Value]])</f>
        <v>227700</v>
      </c>
      <c r="K291" s="36">
        <v>3.3</v>
      </c>
      <c r="L291" s="37">
        <v>69000</v>
      </c>
      <c r="M291" s="33" t="s">
        <v>1082</v>
      </c>
      <c r="N291" s="33" t="s">
        <v>1083</v>
      </c>
      <c r="O291" s="38" t="str">
        <f>IFERROR(_xlfn.XLOOKUP(C291, Data!$A$2:$A$236, Data!$C$2:$C$236), "")</f>
        <v>Mr. Lipu Sir</v>
      </c>
    </row>
    <row r="292" spans="1:15" ht="42" customHeight="1" x14ac:dyDescent="0.35">
      <c r="A292" s="41">
        <f t="shared" si="1"/>
        <v>477</v>
      </c>
      <c r="B292" s="30" t="s">
        <v>1988</v>
      </c>
      <c r="C292" s="39" t="s">
        <v>201</v>
      </c>
      <c r="D292" s="29" t="s">
        <v>96</v>
      </c>
      <c r="E292" s="32" t="s">
        <v>2000</v>
      </c>
      <c r="F292" s="33">
        <v>46127</v>
      </c>
      <c r="G292" s="40">
        <v>46134</v>
      </c>
      <c r="H292" s="35">
        <v>78750</v>
      </c>
      <c r="I292" s="36"/>
      <c r="J292" s="35">
        <f>SUM(Table1[[#This Row],[LC Value]:[Amd Value]])</f>
        <v>78750</v>
      </c>
      <c r="K292" s="36">
        <v>3.15</v>
      </c>
      <c r="L292" s="37">
        <v>25000</v>
      </c>
      <c r="M292" s="33" t="s">
        <v>1131</v>
      </c>
      <c r="N292" s="33" t="s">
        <v>1332</v>
      </c>
      <c r="O292" s="38" t="str">
        <f>IFERROR(_xlfn.XLOOKUP(C292, Data!$A$2:$A$236, Data!$C$2:$C$236), "")</f>
        <v>Director Sir</v>
      </c>
    </row>
    <row r="293" spans="1:15" ht="42" customHeight="1" x14ac:dyDescent="0.35">
      <c r="A293" s="41">
        <f t="shared" si="1"/>
        <v>476</v>
      </c>
      <c r="B293" s="30" t="s">
        <v>1986</v>
      </c>
      <c r="C293" s="39" t="s">
        <v>200</v>
      </c>
      <c r="D293" s="29" t="s">
        <v>32</v>
      </c>
      <c r="E293" s="32" t="s">
        <v>1987</v>
      </c>
      <c r="F293" s="33">
        <v>46127</v>
      </c>
      <c r="G293" s="40">
        <v>46132</v>
      </c>
      <c r="H293" s="35">
        <v>18375</v>
      </c>
      <c r="I293" s="36"/>
      <c r="J293" s="35">
        <f>SUM(Table1[[#This Row],[LC Value]:[Amd Value]])</f>
        <v>18375</v>
      </c>
      <c r="K293" s="36">
        <v>3.8</v>
      </c>
      <c r="L293" s="37">
        <v>4900</v>
      </c>
      <c r="M293" s="33" t="s">
        <v>1172</v>
      </c>
      <c r="N293" s="33" t="s">
        <v>1485</v>
      </c>
      <c r="O293" s="38" t="str">
        <f>IFERROR(_xlfn.XLOOKUP(C293, Data!$A$2:$A$236, Data!$C$2:$C$236), "")</f>
        <v>MD. Sir</v>
      </c>
    </row>
    <row r="294" spans="1:15" ht="42" customHeight="1" x14ac:dyDescent="0.35">
      <c r="A294" s="41">
        <f t="shared" si="1"/>
        <v>475</v>
      </c>
      <c r="B294" s="30" t="s">
        <v>1982</v>
      </c>
      <c r="C294" s="31" t="s">
        <v>247</v>
      </c>
      <c r="D294" s="29" t="s">
        <v>1631</v>
      </c>
      <c r="E294" s="32" t="s">
        <v>1983</v>
      </c>
      <c r="F294" s="33">
        <v>46127</v>
      </c>
      <c r="G294" s="34">
        <v>46127</v>
      </c>
      <c r="H294" s="35">
        <v>11020</v>
      </c>
      <c r="I294" s="36"/>
      <c r="J294" s="35">
        <f>SUM(Table1[[#This Row],[LC Value]:[Amd Value]])</f>
        <v>11020</v>
      </c>
      <c r="K294" s="36">
        <v>3.8</v>
      </c>
      <c r="L294" s="37">
        <v>2900</v>
      </c>
      <c r="M294" s="33" t="s">
        <v>1172</v>
      </c>
      <c r="N294" s="33" t="s">
        <v>1485</v>
      </c>
      <c r="O294" s="38" t="str">
        <f>IFERROR(_xlfn.XLOOKUP(C294, Data!$A$2:$A$236, Data!$C$2:$C$236), "")</f>
        <v>Mr. Lipu Sir</v>
      </c>
    </row>
    <row r="295" spans="1:15" ht="42" customHeight="1" x14ac:dyDescent="0.35">
      <c r="A295" s="41">
        <f t="shared" si="1"/>
        <v>474</v>
      </c>
      <c r="B295" s="30" t="s">
        <v>1980</v>
      </c>
      <c r="C295" s="39" t="s">
        <v>201</v>
      </c>
      <c r="D295" s="29" t="s">
        <v>21</v>
      </c>
      <c r="E295" s="32" t="s">
        <v>1981</v>
      </c>
      <c r="F295" s="33">
        <v>46127</v>
      </c>
      <c r="G295" s="40">
        <v>46132</v>
      </c>
      <c r="H295" s="35">
        <v>53725</v>
      </c>
      <c r="I295" s="36"/>
      <c r="J295" s="35">
        <f>SUM(Table1[[#This Row],[LC Value]:[Amd Value]])</f>
        <v>53725</v>
      </c>
      <c r="K295" s="36">
        <v>3.7</v>
      </c>
      <c r="L295" s="37">
        <v>14500</v>
      </c>
      <c r="M295" s="33" t="s">
        <v>1172</v>
      </c>
      <c r="N295" s="33" t="s">
        <v>1485</v>
      </c>
      <c r="O295" s="38" t="str">
        <f>IFERROR(_xlfn.XLOOKUP(C295, Data!$A$2:$A$236, Data!$C$2:$C$236), "")</f>
        <v>Director Sir</v>
      </c>
    </row>
    <row r="296" spans="1:15" ht="42" customHeight="1" x14ac:dyDescent="0.35">
      <c r="A296" s="41">
        <f t="shared" si="1"/>
        <v>473</v>
      </c>
      <c r="B296" s="30" t="s">
        <v>1978</v>
      </c>
      <c r="C296" s="39" t="s">
        <v>178</v>
      </c>
      <c r="D296" s="29" t="s">
        <v>2691</v>
      </c>
      <c r="E296" s="32" t="s">
        <v>1979</v>
      </c>
      <c r="F296" s="33" t="s">
        <v>1209</v>
      </c>
      <c r="G296" s="40">
        <v>46132</v>
      </c>
      <c r="H296" s="35">
        <v>30025</v>
      </c>
      <c r="I296" s="36"/>
      <c r="J296" s="35">
        <f>SUM(Table1[[#This Row],[LC Value]:[Amd Value]])</f>
        <v>30025</v>
      </c>
      <c r="K296" s="36">
        <v>3.25</v>
      </c>
      <c r="L296" s="37">
        <v>8250</v>
      </c>
      <c r="M296" s="33" t="s">
        <v>1172</v>
      </c>
      <c r="N296" s="33" t="s">
        <v>1485</v>
      </c>
      <c r="O296" s="38" t="str">
        <f>IFERROR(_xlfn.XLOOKUP(C296, Data!$A$2:$A$236, Data!$C$2:$C$236), "")</f>
        <v>Mr. Reza Sir</v>
      </c>
    </row>
    <row r="297" spans="1:15" ht="42" customHeight="1" x14ac:dyDescent="0.35">
      <c r="A297" s="41">
        <f t="shared" si="1"/>
        <v>472</v>
      </c>
      <c r="B297" s="30" t="s">
        <v>1976</v>
      </c>
      <c r="C297" s="39" t="s">
        <v>252</v>
      </c>
      <c r="D297" s="29" t="s">
        <v>115</v>
      </c>
      <c r="E297" s="32" t="s">
        <v>1977</v>
      </c>
      <c r="F297" s="33" t="s">
        <v>1209</v>
      </c>
      <c r="G297" s="40">
        <v>46132</v>
      </c>
      <c r="H297" s="35">
        <v>21635</v>
      </c>
      <c r="I297" s="36">
        <v>-22.5</v>
      </c>
      <c r="J297" s="35">
        <f>SUM(Table1[[#This Row],[LC Value]:[Amd Value]])</f>
        <v>21612.5</v>
      </c>
      <c r="K297" s="36">
        <v>3.85</v>
      </c>
      <c r="L297" s="37">
        <v>5500</v>
      </c>
      <c r="M297" s="33" t="s">
        <v>1172</v>
      </c>
      <c r="N297" s="33" t="s">
        <v>1485</v>
      </c>
      <c r="O297" s="38" t="str">
        <f>IFERROR(_xlfn.XLOOKUP(C297, Data!$A$2:$A$236, Data!$C$2:$C$236), "")</f>
        <v>Mr. Amran Sir</v>
      </c>
    </row>
    <row r="298" spans="1:15" ht="42" customHeight="1" x14ac:dyDescent="0.35">
      <c r="A298" s="41">
        <f t="shared" si="1"/>
        <v>471</v>
      </c>
      <c r="B298" s="30" t="s">
        <v>1974</v>
      </c>
      <c r="C298" s="39" t="s">
        <v>252</v>
      </c>
      <c r="D298" s="29" t="s">
        <v>115</v>
      </c>
      <c r="E298" s="32" t="s">
        <v>1975</v>
      </c>
      <c r="F298" s="33" t="s">
        <v>1209</v>
      </c>
      <c r="G298" s="40">
        <v>46132</v>
      </c>
      <c r="H298" s="35">
        <v>23040</v>
      </c>
      <c r="I298" s="36"/>
      <c r="J298" s="35">
        <f>SUM(Table1[[#This Row],[LC Value]:[Amd Value]])</f>
        <v>23040</v>
      </c>
      <c r="K298" s="36">
        <v>3.6</v>
      </c>
      <c r="L298" s="37">
        <v>6800</v>
      </c>
      <c r="M298" s="33" t="s">
        <v>1172</v>
      </c>
      <c r="N298" s="33" t="s">
        <v>1485</v>
      </c>
      <c r="O298" s="38" t="str">
        <f>IFERROR(_xlfn.XLOOKUP(C298, Data!$A$2:$A$236, Data!$C$2:$C$236), "")</f>
        <v>Mr. Amran Sir</v>
      </c>
    </row>
    <row r="299" spans="1:15" ht="42" customHeight="1" x14ac:dyDescent="0.35">
      <c r="A299" s="41">
        <f t="shared" si="1"/>
        <v>470</v>
      </c>
      <c r="B299" s="30" t="s">
        <v>1972</v>
      </c>
      <c r="C299" s="39" t="s">
        <v>1097</v>
      </c>
      <c r="D299" s="29" t="s">
        <v>273</v>
      </c>
      <c r="E299" s="32" t="s">
        <v>1973</v>
      </c>
      <c r="F299" s="33" t="s">
        <v>1209</v>
      </c>
      <c r="G299" s="40">
        <v>46132</v>
      </c>
      <c r="H299" s="35">
        <v>23630</v>
      </c>
      <c r="I299" s="36"/>
      <c r="J299" s="35">
        <f>SUM(Table1[[#This Row],[LC Value]:[Amd Value]])</f>
        <v>23630</v>
      </c>
      <c r="K299" s="36">
        <v>3.35</v>
      </c>
      <c r="L299" s="37">
        <v>6900</v>
      </c>
      <c r="M299" s="33" t="s">
        <v>1172</v>
      </c>
      <c r="N299" s="33" t="s">
        <v>1485</v>
      </c>
      <c r="O299" s="38" t="str">
        <f>IFERROR(_xlfn.XLOOKUP(C299, Data!$A$2:$A$236, Data!$C$2:$C$236), "")</f>
        <v>Mr. Wadud Sir</v>
      </c>
    </row>
    <row r="300" spans="1:15" ht="42" customHeight="1" x14ac:dyDescent="0.35">
      <c r="A300" s="41">
        <f t="shared" si="1"/>
        <v>469</v>
      </c>
      <c r="B300" s="30" t="s">
        <v>1970</v>
      </c>
      <c r="C300" s="39" t="s">
        <v>201</v>
      </c>
      <c r="D300" s="29" t="s">
        <v>96</v>
      </c>
      <c r="E300" s="32" t="s">
        <v>1971</v>
      </c>
      <c r="F300" s="33" t="s">
        <v>1209</v>
      </c>
      <c r="G300" s="40">
        <v>46132</v>
      </c>
      <c r="H300" s="35">
        <v>87500</v>
      </c>
      <c r="I300" s="36"/>
      <c r="J300" s="35">
        <f>SUM(Table1[[#This Row],[LC Value]:[Amd Value]])</f>
        <v>87500</v>
      </c>
      <c r="K300" s="36">
        <v>3.5</v>
      </c>
      <c r="L300" s="37">
        <v>25000</v>
      </c>
      <c r="M300" s="33" t="s">
        <v>1172</v>
      </c>
      <c r="N300" s="33" t="s">
        <v>1485</v>
      </c>
      <c r="O300" s="38" t="str">
        <f>IFERROR(_xlfn.XLOOKUP(C300, Data!$A$2:$A$236, Data!$C$2:$C$236), "")</f>
        <v>Director Sir</v>
      </c>
    </row>
    <row r="301" spans="1:15" ht="42" customHeight="1" x14ac:dyDescent="0.35">
      <c r="A301" s="41">
        <f t="shared" si="1"/>
        <v>468</v>
      </c>
      <c r="B301" s="30" t="s">
        <v>1968</v>
      </c>
      <c r="C301" s="39" t="s">
        <v>201</v>
      </c>
      <c r="D301" s="29" t="s">
        <v>21</v>
      </c>
      <c r="E301" s="32" t="s">
        <v>1969</v>
      </c>
      <c r="F301" s="33" t="s">
        <v>1209</v>
      </c>
      <c r="G301" s="40">
        <v>46131</v>
      </c>
      <c r="H301" s="35">
        <v>172250</v>
      </c>
      <c r="I301" s="36"/>
      <c r="J301" s="35">
        <f>SUM(Table1[[#This Row],[LC Value]:[Amd Value]])</f>
        <v>172250</v>
      </c>
      <c r="K301" s="36">
        <v>3.25</v>
      </c>
      <c r="L301" s="37">
        <v>53000</v>
      </c>
      <c r="M301" s="33" t="s">
        <v>1172</v>
      </c>
      <c r="N301" s="33" t="s">
        <v>1485</v>
      </c>
      <c r="O301" s="38" t="str">
        <f>IFERROR(_xlfn.XLOOKUP(C301, Data!$A$2:$A$236, Data!$C$2:$C$236), "")</f>
        <v>Director Sir</v>
      </c>
    </row>
    <row r="302" spans="1:15" ht="42" customHeight="1" x14ac:dyDescent="0.35">
      <c r="A302" s="41">
        <f t="shared" si="1"/>
        <v>467</v>
      </c>
      <c r="B302" s="30" t="s">
        <v>1966</v>
      </c>
      <c r="C302" s="39" t="s">
        <v>201</v>
      </c>
      <c r="D302" s="29" t="s">
        <v>21</v>
      </c>
      <c r="E302" s="32" t="s">
        <v>1967</v>
      </c>
      <c r="F302" s="33" t="s">
        <v>1209</v>
      </c>
      <c r="G302" s="40">
        <v>46131</v>
      </c>
      <c r="H302" s="35">
        <v>187000</v>
      </c>
      <c r="I302" s="36"/>
      <c r="J302" s="35">
        <f>SUM(Table1[[#This Row],[LC Value]:[Amd Value]])</f>
        <v>187000</v>
      </c>
      <c r="K302" s="36">
        <v>3.4</v>
      </c>
      <c r="L302" s="37">
        <v>55000</v>
      </c>
      <c r="M302" s="33" t="s">
        <v>1172</v>
      </c>
      <c r="N302" s="33" t="s">
        <v>1485</v>
      </c>
      <c r="O302" s="38" t="str">
        <f>IFERROR(_xlfn.XLOOKUP(C302, Data!$A$2:$A$236, Data!$C$2:$C$236), "")</f>
        <v>Director Sir</v>
      </c>
    </row>
    <row r="303" spans="1:15" ht="42" customHeight="1" x14ac:dyDescent="0.35">
      <c r="A303" s="41">
        <f t="shared" si="1"/>
        <v>466</v>
      </c>
      <c r="B303" s="30" t="s">
        <v>1960</v>
      </c>
      <c r="C303" s="39" t="s">
        <v>35</v>
      </c>
      <c r="D303" s="29" t="s">
        <v>79</v>
      </c>
      <c r="E303" s="32" t="s">
        <v>1961</v>
      </c>
      <c r="F303" s="33" t="s">
        <v>1209</v>
      </c>
      <c r="G303" s="40">
        <v>46132</v>
      </c>
      <c r="H303" s="35">
        <v>14550</v>
      </c>
      <c r="I303" s="36">
        <v>4318.5</v>
      </c>
      <c r="J303" s="35">
        <f>SUM(Table1[[#This Row],[LC Value]:[Amd Value]])</f>
        <v>18868.5</v>
      </c>
      <c r="K303" s="36">
        <v>4</v>
      </c>
      <c r="L303" s="37">
        <v>3550</v>
      </c>
      <c r="M303" s="33" t="s">
        <v>1658</v>
      </c>
      <c r="N303" s="33" t="s">
        <v>1962</v>
      </c>
      <c r="O303" s="38" t="str">
        <f>IFERROR(_xlfn.XLOOKUP(C303, Data!$A$2:$A$236, Data!$C$2:$C$236), "")</f>
        <v>Mr. Sohel Sir</v>
      </c>
    </row>
    <row r="304" spans="1:15" ht="42" customHeight="1" x14ac:dyDescent="0.35">
      <c r="A304" s="41">
        <f t="shared" si="1"/>
        <v>465</v>
      </c>
      <c r="B304" s="30" t="s">
        <v>1958</v>
      </c>
      <c r="C304" s="39" t="s">
        <v>174</v>
      </c>
      <c r="D304" s="29" t="s">
        <v>2691</v>
      </c>
      <c r="E304" s="32" t="s">
        <v>1959</v>
      </c>
      <c r="F304" s="33" t="s">
        <v>1929</v>
      </c>
      <c r="G304" s="40">
        <v>46125</v>
      </c>
      <c r="H304" s="35">
        <v>9545</v>
      </c>
      <c r="I304" s="36"/>
      <c r="J304" s="35">
        <f>SUM(Table1[[#This Row],[LC Value]:[Amd Value]])</f>
        <v>9545</v>
      </c>
      <c r="K304" s="36">
        <v>3.2</v>
      </c>
      <c r="L304" s="37">
        <v>2800</v>
      </c>
      <c r="M304" s="33" t="s">
        <v>1172</v>
      </c>
      <c r="N304" s="33" t="s">
        <v>1485</v>
      </c>
      <c r="O304" s="38" t="str">
        <f>IFERROR(_xlfn.XLOOKUP(C304, Data!$A$2:$A$236, Data!$C$2:$C$236), "")</f>
        <v>Mr. Reza Sir</v>
      </c>
    </row>
    <row r="305" spans="1:15" ht="42" customHeight="1" x14ac:dyDescent="0.35">
      <c r="A305" s="41">
        <f t="shared" si="1"/>
        <v>464</v>
      </c>
      <c r="B305" s="30" t="s">
        <v>1948</v>
      </c>
      <c r="C305" s="39" t="s">
        <v>199</v>
      </c>
      <c r="D305" s="29" t="s">
        <v>32</v>
      </c>
      <c r="E305" s="32" t="s">
        <v>1949</v>
      </c>
      <c r="F305" s="33" t="s">
        <v>1929</v>
      </c>
      <c r="G305" s="40">
        <v>46131</v>
      </c>
      <c r="H305" s="35">
        <v>45725</v>
      </c>
      <c r="I305" s="36"/>
      <c r="J305" s="35">
        <f>SUM(Table1[[#This Row],[LC Value]:[Amd Value]])</f>
        <v>45725</v>
      </c>
      <c r="K305" s="36">
        <v>2.95</v>
      </c>
      <c r="L305" s="37">
        <v>15500</v>
      </c>
      <c r="M305" s="33" t="s">
        <v>1172</v>
      </c>
      <c r="N305" s="33" t="s">
        <v>1485</v>
      </c>
      <c r="O305" s="38" t="str">
        <f>IFERROR(_xlfn.XLOOKUP(C305, Data!$A$2:$A$236, Data!$C$2:$C$236), "")</f>
        <v>MD. Sir</v>
      </c>
    </row>
    <row r="306" spans="1:15" ht="42" customHeight="1" x14ac:dyDescent="0.35">
      <c r="A306" s="41">
        <f t="shared" si="1"/>
        <v>463</v>
      </c>
      <c r="B306" s="30" t="s">
        <v>1946</v>
      </c>
      <c r="C306" s="39" t="s">
        <v>199</v>
      </c>
      <c r="D306" s="29" t="s">
        <v>98</v>
      </c>
      <c r="E306" s="32" t="s">
        <v>1947</v>
      </c>
      <c r="F306" s="33" t="s">
        <v>1929</v>
      </c>
      <c r="G306" s="40">
        <v>46131</v>
      </c>
      <c r="H306" s="35">
        <v>52410</v>
      </c>
      <c r="I306" s="36"/>
      <c r="J306" s="35">
        <f>SUM(Table1[[#This Row],[LC Value]:[Amd Value]])</f>
        <v>52410</v>
      </c>
      <c r="K306" s="36">
        <v>3.15</v>
      </c>
      <c r="L306" s="37">
        <v>16550</v>
      </c>
      <c r="M306" s="33" t="s">
        <v>1172</v>
      </c>
      <c r="N306" s="33" t="s">
        <v>1485</v>
      </c>
      <c r="O306" s="38" t="str">
        <f>IFERROR(_xlfn.XLOOKUP(C306, Data!$A$2:$A$236, Data!$C$2:$C$236), "")</f>
        <v>MD. Sir</v>
      </c>
    </row>
    <row r="307" spans="1:15" ht="42" customHeight="1" x14ac:dyDescent="0.35">
      <c r="A307" s="41">
        <f t="shared" si="1"/>
        <v>462</v>
      </c>
      <c r="B307" s="30" t="s">
        <v>1944</v>
      </c>
      <c r="C307" s="39" t="s">
        <v>199</v>
      </c>
      <c r="D307" s="29" t="s">
        <v>98</v>
      </c>
      <c r="E307" s="32" t="s">
        <v>1945</v>
      </c>
      <c r="F307" s="33" t="s">
        <v>1929</v>
      </c>
      <c r="G307" s="40">
        <v>46131</v>
      </c>
      <c r="H307" s="35">
        <v>30132.5</v>
      </c>
      <c r="I307" s="36"/>
      <c r="J307" s="35">
        <f>SUM(Table1[[#This Row],[LC Value]:[Amd Value]])</f>
        <v>30132.5</v>
      </c>
      <c r="K307" s="36">
        <v>3</v>
      </c>
      <c r="L307" s="37">
        <v>10100</v>
      </c>
      <c r="M307" s="33" t="s">
        <v>1172</v>
      </c>
      <c r="N307" s="33" t="s">
        <v>1485</v>
      </c>
      <c r="O307" s="38" t="str">
        <f>IFERROR(_xlfn.XLOOKUP(C307, Data!$A$2:$A$236, Data!$C$2:$C$236), "")</f>
        <v>MD. Sir</v>
      </c>
    </row>
    <row r="308" spans="1:15" ht="42" customHeight="1" x14ac:dyDescent="0.35">
      <c r="A308" s="41">
        <f t="shared" si="1"/>
        <v>461</v>
      </c>
      <c r="B308" s="30" t="s">
        <v>1942</v>
      </c>
      <c r="C308" s="39" t="s">
        <v>199</v>
      </c>
      <c r="D308" s="29" t="s">
        <v>32</v>
      </c>
      <c r="E308" s="32" t="s">
        <v>1943</v>
      </c>
      <c r="F308" s="33" t="s">
        <v>1929</v>
      </c>
      <c r="G308" s="40">
        <v>46131</v>
      </c>
      <c r="H308" s="35">
        <v>261750</v>
      </c>
      <c r="I308" s="36"/>
      <c r="J308" s="35">
        <f>SUM(Table1[[#This Row],[LC Value]:[Amd Value]])</f>
        <v>261750</v>
      </c>
      <c r="K308" s="36">
        <v>3</v>
      </c>
      <c r="L308" s="37">
        <v>87250</v>
      </c>
      <c r="M308" s="33" t="s">
        <v>1605</v>
      </c>
      <c r="N308" s="33" t="s">
        <v>1560</v>
      </c>
      <c r="O308" s="38" t="str">
        <f>IFERROR(_xlfn.XLOOKUP(C308, Data!$A$2:$A$236, Data!$C$2:$C$236), "")</f>
        <v>MD. Sir</v>
      </c>
    </row>
    <row r="309" spans="1:15" ht="42" customHeight="1" x14ac:dyDescent="0.35">
      <c r="A309" s="41">
        <f t="shared" si="1"/>
        <v>460</v>
      </c>
      <c r="B309" s="30" t="s">
        <v>1933</v>
      </c>
      <c r="C309" s="39" t="s">
        <v>1934</v>
      </c>
      <c r="D309" s="29" t="s">
        <v>1936</v>
      </c>
      <c r="E309" s="32" t="s">
        <v>1937</v>
      </c>
      <c r="F309" s="33" t="s">
        <v>1929</v>
      </c>
      <c r="G309" s="40">
        <v>46131</v>
      </c>
      <c r="H309" s="35">
        <v>62050</v>
      </c>
      <c r="I309" s="36"/>
      <c r="J309" s="35">
        <f>SUM(Table1[[#This Row],[LC Value]:[Amd Value]])</f>
        <v>62050</v>
      </c>
      <c r="K309" s="36">
        <v>3.65</v>
      </c>
      <c r="L309" s="37">
        <v>17000</v>
      </c>
      <c r="M309" s="33" t="s">
        <v>1398</v>
      </c>
      <c r="N309" s="33" t="s">
        <v>1658</v>
      </c>
      <c r="O309" s="38" t="str">
        <f>IFERROR(_xlfn.XLOOKUP(C309, Data!$A$2:$A$236, Data!$C$2:$C$236), "")</f>
        <v>Mr. Reza Sir</v>
      </c>
    </row>
    <row r="310" spans="1:15" ht="42" customHeight="1" x14ac:dyDescent="0.35">
      <c r="A310" s="41">
        <f t="shared" si="1"/>
        <v>459</v>
      </c>
      <c r="B310" s="30" t="s">
        <v>1931</v>
      </c>
      <c r="C310" s="39" t="s">
        <v>252</v>
      </c>
      <c r="D310" s="29" t="s">
        <v>115</v>
      </c>
      <c r="E310" s="32" t="s">
        <v>1932</v>
      </c>
      <c r="F310" s="33" t="s">
        <v>1929</v>
      </c>
      <c r="G310" s="40">
        <v>46131</v>
      </c>
      <c r="H310" s="35">
        <v>27520</v>
      </c>
      <c r="I310" s="36"/>
      <c r="J310" s="35">
        <f>SUM(Table1[[#This Row],[LC Value]:[Amd Value]])</f>
        <v>27520</v>
      </c>
      <c r="K310" s="36">
        <v>4.25</v>
      </c>
      <c r="L310" s="37">
        <v>6400</v>
      </c>
      <c r="M310" s="33" t="s">
        <v>1010</v>
      </c>
      <c r="N310" s="33" t="s">
        <v>1172</v>
      </c>
      <c r="O310" s="38" t="str">
        <f>IFERROR(_xlfn.XLOOKUP(C310, Data!$A$2:$A$236, Data!$C$2:$C$236), "")</f>
        <v>Mr. Amran Sir</v>
      </c>
    </row>
    <row r="311" spans="1:15" ht="42" customHeight="1" x14ac:dyDescent="0.35">
      <c r="A311" s="41">
        <f t="shared" si="1"/>
        <v>458</v>
      </c>
      <c r="B311" s="30" t="s">
        <v>1927</v>
      </c>
      <c r="C311" s="39" t="s">
        <v>252</v>
      </c>
      <c r="D311" s="29" t="s">
        <v>115</v>
      </c>
      <c r="E311" s="32" t="s">
        <v>1928</v>
      </c>
      <c r="F311" s="33" t="s">
        <v>1929</v>
      </c>
      <c r="G311" s="40">
        <v>46131</v>
      </c>
      <c r="H311" s="35">
        <v>8450</v>
      </c>
      <c r="I311" s="36"/>
      <c r="J311" s="35">
        <f>SUM(Table1[[#This Row],[LC Value]:[Amd Value]])</f>
        <v>8450</v>
      </c>
      <c r="K311" s="36">
        <v>3.25</v>
      </c>
      <c r="L311" s="37">
        <v>2600</v>
      </c>
      <c r="M311" s="33" t="s">
        <v>1346</v>
      </c>
      <c r="N311" s="33" t="s">
        <v>1930</v>
      </c>
      <c r="O311" s="38" t="str">
        <f>IFERROR(_xlfn.XLOOKUP(C311, Data!$A$2:$A$236, Data!$C$2:$C$236), "")</f>
        <v>Mr. Amran Sir</v>
      </c>
    </row>
    <row r="312" spans="1:15" ht="42" customHeight="1" x14ac:dyDescent="0.35">
      <c r="A312" s="41">
        <f t="shared" si="1"/>
        <v>457</v>
      </c>
      <c r="B312" s="30" t="s">
        <v>1925</v>
      </c>
      <c r="C312" s="39" t="s">
        <v>265</v>
      </c>
      <c r="D312" s="29" t="s">
        <v>1922</v>
      </c>
      <c r="E312" s="32" t="s">
        <v>1926</v>
      </c>
      <c r="F312" s="33" t="s">
        <v>736</v>
      </c>
      <c r="G312" s="40">
        <v>46131</v>
      </c>
      <c r="H312" s="35">
        <v>16250</v>
      </c>
      <c r="I312" s="36"/>
      <c r="J312" s="35">
        <f>SUM(Table1[[#This Row],[LC Value]:[Amd Value]])</f>
        <v>16250</v>
      </c>
      <c r="K312" s="36">
        <v>3.25</v>
      </c>
      <c r="L312" s="37">
        <v>5000</v>
      </c>
      <c r="M312" s="33" t="s">
        <v>1172</v>
      </c>
      <c r="N312" s="33" t="s">
        <v>1485</v>
      </c>
      <c r="O312" s="38" t="str">
        <f>IFERROR(_xlfn.XLOOKUP(C312, Data!$A$2:$A$236, Data!$C$2:$C$236), "")</f>
        <v>Mr. Amran Sir</v>
      </c>
    </row>
    <row r="313" spans="1:15" ht="42" customHeight="1" x14ac:dyDescent="0.35">
      <c r="A313" s="41">
        <f t="shared" si="1"/>
        <v>456</v>
      </c>
      <c r="B313" s="30" t="s">
        <v>1921</v>
      </c>
      <c r="C313" s="39" t="s">
        <v>265</v>
      </c>
      <c r="D313" s="29" t="s">
        <v>1922</v>
      </c>
      <c r="E313" s="32" t="s">
        <v>1923</v>
      </c>
      <c r="F313" s="33" t="s">
        <v>736</v>
      </c>
      <c r="G313" s="40">
        <v>46131</v>
      </c>
      <c r="H313" s="35"/>
      <c r="I313" s="36"/>
      <c r="J313" s="35">
        <f>SUM(Table1[[#This Row],[LC Value]:[Amd Value]])</f>
        <v>0</v>
      </c>
      <c r="K313" s="36">
        <v>3.3</v>
      </c>
      <c r="L313" s="37">
        <v>5400</v>
      </c>
      <c r="M313" s="33" t="s">
        <v>1172</v>
      </c>
      <c r="N313" s="33" t="s">
        <v>1485</v>
      </c>
      <c r="O313" s="38" t="str">
        <f>IFERROR(_xlfn.XLOOKUP(C313, Data!$A$2:$A$236, Data!$C$2:$C$236), "")</f>
        <v>Mr. Amran Sir</v>
      </c>
    </row>
    <row r="314" spans="1:15" ht="42" customHeight="1" x14ac:dyDescent="0.35">
      <c r="A314" s="41">
        <f t="shared" si="1"/>
        <v>455</v>
      </c>
      <c r="B314" s="30" t="s">
        <v>1918</v>
      </c>
      <c r="C314" s="39" t="s">
        <v>211</v>
      </c>
      <c r="D314" s="29" t="s">
        <v>96</v>
      </c>
      <c r="E314" s="32" t="s">
        <v>1919</v>
      </c>
      <c r="F314" s="33" t="s">
        <v>736</v>
      </c>
      <c r="G314" s="40">
        <v>46127</v>
      </c>
      <c r="H314" s="35">
        <v>8470</v>
      </c>
      <c r="I314" s="36"/>
      <c r="J314" s="35">
        <f>SUM(Table1[[#This Row],[LC Value]:[Amd Value]])</f>
        <v>8470</v>
      </c>
      <c r="K314" s="36">
        <v>3.25</v>
      </c>
      <c r="L314" s="37">
        <v>2600</v>
      </c>
      <c r="M314" s="33" t="s">
        <v>1485</v>
      </c>
      <c r="N314" s="33" t="s">
        <v>868</v>
      </c>
      <c r="O314" s="38" t="str">
        <f>IFERROR(_xlfn.XLOOKUP(C314, Data!$A$2:$A$236, Data!$C$2:$C$236), "")</f>
        <v>Mr. Sohel Sir</v>
      </c>
    </row>
    <row r="315" spans="1:15" ht="42" customHeight="1" x14ac:dyDescent="0.35">
      <c r="A315" s="41">
        <f t="shared" si="1"/>
        <v>454</v>
      </c>
      <c r="B315" s="30" t="s">
        <v>1914</v>
      </c>
      <c r="C315" s="39" t="s">
        <v>128</v>
      </c>
      <c r="D315" s="29" t="s">
        <v>1915</v>
      </c>
      <c r="E315" s="32" t="s">
        <v>1916</v>
      </c>
      <c r="F315" s="33" t="s">
        <v>736</v>
      </c>
      <c r="G315" s="40">
        <v>46127</v>
      </c>
      <c r="H315" s="35">
        <v>6600</v>
      </c>
      <c r="I315" s="36"/>
      <c r="J315" s="35">
        <f>SUM(Table1[[#This Row],[LC Value]:[Amd Value]])</f>
        <v>6600</v>
      </c>
      <c r="K315" s="36">
        <v>3.8</v>
      </c>
      <c r="L315" s="37">
        <v>2000</v>
      </c>
      <c r="M315" s="33" t="s">
        <v>1485</v>
      </c>
      <c r="N315" s="33" t="s">
        <v>1658</v>
      </c>
      <c r="O315" s="38" t="str">
        <f>IFERROR(_xlfn.XLOOKUP(C315, Data!$A$2:$A$236, Data!$C$2:$C$236), "")</f>
        <v>Mr. Wadud Sir</v>
      </c>
    </row>
    <row r="316" spans="1:15" ht="42" customHeight="1" x14ac:dyDescent="0.35">
      <c r="A316" s="41">
        <f t="shared" si="1"/>
        <v>453</v>
      </c>
      <c r="B316" s="30" t="s">
        <v>1910</v>
      </c>
      <c r="C316" s="39" t="s">
        <v>128</v>
      </c>
      <c r="D316" s="29" t="s">
        <v>1911</v>
      </c>
      <c r="E316" s="32" t="s">
        <v>1912</v>
      </c>
      <c r="F316" s="33" t="s">
        <v>736</v>
      </c>
      <c r="G316" s="40">
        <v>46127</v>
      </c>
      <c r="H316" s="35">
        <v>15200</v>
      </c>
      <c r="I316" s="36"/>
      <c r="J316" s="35">
        <f>SUM(Table1[[#This Row],[LC Value]:[Amd Value]])</f>
        <v>15200</v>
      </c>
      <c r="K316" s="36">
        <v>3.8</v>
      </c>
      <c r="L316" s="37">
        <v>4000</v>
      </c>
      <c r="M316" s="33" t="s">
        <v>1485</v>
      </c>
      <c r="N316" s="33" t="s">
        <v>1658</v>
      </c>
      <c r="O316" s="38" t="str">
        <f>IFERROR(_xlfn.XLOOKUP(C316, Data!$A$2:$A$236, Data!$C$2:$C$236), "")</f>
        <v>Mr. Wadud Sir</v>
      </c>
    </row>
    <row r="317" spans="1:15" ht="42" customHeight="1" x14ac:dyDescent="0.35">
      <c r="A317" s="41">
        <f t="shared" si="1"/>
        <v>452</v>
      </c>
      <c r="B317" s="30" t="s">
        <v>1907</v>
      </c>
      <c r="C317" s="39" t="s">
        <v>297</v>
      </c>
      <c r="D317" s="29" t="s">
        <v>1908</v>
      </c>
      <c r="E317" s="32" t="s">
        <v>1909</v>
      </c>
      <c r="F317" s="33" t="s">
        <v>736</v>
      </c>
      <c r="G317" s="40">
        <v>46123</v>
      </c>
      <c r="H317" s="35">
        <v>34000</v>
      </c>
      <c r="I317" s="36"/>
      <c r="J317" s="35">
        <f>SUM(Table1[[#This Row],[LC Value]:[Amd Value]])</f>
        <v>34000</v>
      </c>
      <c r="K317" s="36">
        <v>3.1</v>
      </c>
      <c r="L317" s="37">
        <v>10000</v>
      </c>
      <c r="M317" s="33" t="s">
        <v>1658</v>
      </c>
      <c r="N317" s="33" t="s">
        <v>1082</v>
      </c>
      <c r="O317" s="38" t="str">
        <f>IFERROR(_xlfn.XLOOKUP(C317, Data!$A$2:$A$236, Data!$C$2:$C$236), "")</f>
        <v>Director Sir</v>
      </c>
    </row>
    <row r="318" spans="1:15" ht="42" customHeight="1" x14ac:dyDescent="0.35">
      <c r="A318" s="41">
        <f t="shared" si="1"/>
        <v>451</v>
      </c>
      <c r="B318" s="30" t="s">
        <v>1905</v>
      </c>
      <c r="C318" s="39" t="s">
        <v>1097</v>
      </c>
      <c r="D318" s="29" t="s">
        <v>273</v>
      </c>
      <c r="E318" s="32" t="s">
        <v>1906</v>
      </c>
      <c r="F318" s="33" t="s">
        <v>1196</v>
      </c>
      <c r="G318" s="40">
        <v>46123</v>
      </c>
      <c r="H318" s="35">
        <v>79845</v>
      </c>
      <c r="I318" s="36">
        <v>6247.5</v>
      </c>
      <c r="J318" s="35">
        <f>SUM(Table1[[#This Row],[LC Value]:[Amd Value]])</f>
        <v>86092.5</v>
      </c>
      <c r="K318" s="36">
        <v>3.1</v>
      </c>
      <c r="L318" s="37">
        <v>25650</v>
      </c>
      <c r="M318" s="33" t="s">
        <v>1457</v>
      </c>
      <c r="N318" s="33" t="s">
        <v>1485</v>
      </c>
      <c r="O318" s="38" t="str">
        <f>IFERROR(_xlfn.XLOOKUP(C318, Data!$A$2:$A$236, Data!$C$2:$C$236), "")</f>
        <v>Mr. Wadud Sir</v>
      </c>
    </row>
    <row r="319" spans="1:15" ht="42" customHeight="1" x14ac:dyDescent="0.35">
      <c r="A319" s="41">
        <f t="shared" si="1"/>
        <v>450</v>
      </c>
      <c r="B319" s="30" t="s">
        <v>1903</v>
      </c>
      <c r="C319" s="39" t="s">
        <v>201</v>
      </c>
      <c r="D319" s="29" t="s">
        <v>21</v>
      </c>
      <c r="E319" s="32" t="s">
        <v>1904</v>
      </c>
      <c r="F319" s="33" t="s">
        <v>736</v>
      </c>
      <c r="G319" s="40">
        <v>46130</v>
      </c>
      <c r="H319" s="35">
        <v>169000</v>
      </c>
      <c r="I319" s="36"/>
      <c r="J319" s="35">
        <f>SUM(Table1[[#This Row],[LC Value]:[Amd Value]])</f>
        <v>169000</v>
      </c>
      <c r="K319" s="36">
        <v>3.35</v>
      </c>
      <c r="L319" s="37">
        <v>21500</v>
      </c>
      <c r="M319" s="33" t="s">
        <v>868</v>
      </c>
      <c r="N319" s="33" t="s">
        <v>1082</v>
      </c>
      <c r="O319" s="38" t="str">
        <f>IFERROR(_xlfn.XLOOKUP(C319, Data!$A$2:$A$236, Data!$C$2:$C$236), "")</f>
        <v>Director Sir</v>
      </c>
    </row>
    <row r="320" spans="1:15" ht="42" customHeight="1" x14ac:dyDescent="0.35">
      <c r="A320" s="41">
        <f t="shared" si="1"/>
        <v>449</v>
      </c>
      <c r="B320" s="30" t="s">
        <v>1901</v>
      </c>
      <c r="C320" s="39" t="s">
        <v>201</v>
      </c>
      <c r="D320" s="29" t="s">
        <v>21</v>
      </c>
      <c r="E320" s="32" t="s">
        <v>1902</v>
      </c>
      <c r="F320" s="33" t="s">
        <v>736</v>
      </c>
      <c r="G320" s="40">
        <v>46127</v>
      </c>
      <c r="H320" s="35">
        <f>19865+50187.5</f>
        <v>70052.5</v>
      </c>
      <c r="I320" s="36"/>
      <c r="J320" s="35">
        <f>SUM(Table1[[#This Row],[LC Value]:[Amd Value]])</f>
        <v>70052.5</v>
      </c>
      <c r="K320" s="36">
        <v>3.35</v>
      </c>
      <c r="L320" s="37">
        <v>21500</v>
      </c>
      <c r="M320" s="33" t="s">
        <v>868</v>
      </c>
      <c r="N320" s="33" t="s">
        <v>1082</v>
      </c>
      <c r="O320" s="38" t="str">
        <f>IFERROR(_xlfn.XLOOKUP(C320, Data!$A$2:$A$236, Data!$C$2:$C$236), "")</f>
        <v>Director Sir</v>
      </c>
    </row>
    <row r="321" spans="1:15" ht="42" customHeight="1" x14ac:dyDescent="0.35">
      <c r="A321" s="41">
        <f t="shared" si="1"/>
        <v>448</v>
      </c>
      <c r="B321" s="30" t="s">
        <v>1899</v>
      </c>
      <c r="C321" s="39" t="s">
        <v>1097</v>
      </c>
      <c r="D321" s="29" t="s">
        <v>273</v>
      </c>
      <c r="E321" s="32" t="s">
        <v>1900</v>
      </c>
      <c r="F321" s="33" t="s">
        <v>736</v>
      </c>
      <c r="G321" s="40">
        <v>46131</v>
      </c>
      <c r="H321" s="35">
        <v>18955</v>
      </c>
      <c r="I321" s="36"/>
      <c r="J321" s="35">
        <f>SUM(Table1[[#This Row],[LC Value]:[Amd Value]])</f>
        <v>18955</v>
      </c>
      <c r="K321" s="36">
        <v>3.35</v>
      </c>
      <c r="L321" s="37">
        <v>5500</v>
      </c>
      <c r="M321" s="33" t="s">
        <v>868</v>
      </c>
      <c r="N321" s="33" t="s">
        <v>1082</v>
      </c>
      <c r="O321" s="38" t="str">
        <f>IFERROR(_xlfn.XLOOKUP(C321, Data!$A$2:$A$236, Data!$C$2:$C$236), "")</f>
        <v>Mr. Wadud Sir</v>
      </c>
    </row>
    <row r="322" spans="1:15" ht="42" customHeight="1" x14ac:dyDescent="0.35">
      <c r="A322" s="41">
        <f t="shared" si="1"/>
        <v>447</v>
      </c>
      <c r="B322" s="30" t="s">
        <v>1897</v>
      </c>
      <c r="C322" s="39" t="s">
        <v>150</v>
      </c>
      <c r="D322" s="29" t="s">
        <v>95</v>
      </c>
      <c r="E322" s="32" t="s">
        <v>1898</v>
      </c>
      <c r="F322" s="33" t="s">
        <v>736</v>
      </c>
      <c r="G322" s="40">
        <v>46127</v>
      </c>
      <c r="H322" s="35">
        <v>27591</v>
      </c>
      <c r="I322" s="36"/>
      <c r="J322" s="35">
        <f>SUM(Table1[[#This Row],[LC Value]:[Amd Value]])</f>
        <v>27591</v>
      </c>
      <c r="K322" s="36">
        <v>3.76</v>
      </c>
      <c r="L322" s="37">
        <v>7800</v>
      </c>
      <c r="M322" s="33" t="s">
        <v>868</v>
      </c>
      <c r="N322" s="33" t="s">
        <v>1082</v>
      </c>
      <c r="O322" s="38" t="str">
        <f>IFERROR(_xlfn.XLOOKUP(C322, Data!$A$2:$A$236, Data!$C$2:$C$236), "")</f>
        <v>Mr. Sohel Sir</v>
      </c>
    </row>
    <row r="323" spans="1:15" ht="42" customHeight="1" x14ac:dyDescent="0.35">
      <c r="A323" s="41">
        <f t="shared" si="1"/>
        <v>446</v>
      </c>
      <c r="B323" s="30" t="s">
        <v>1896</v>
      </c>
      <c r="C323" s="39" t="s">
        <v>150</v>
      </c>
      <c r="D323" s="29" t="s">
        <v>95</v>
      </c>
      <c r="E323" s="32" t="s">
        <v>1963</v>
      </c>
      <c r="F323" s="33" t="s">
        <v>736</v>
      </c>
      <c r="G323" s="40">
        <v>46127</v>
      </c>
      <c r="H323" s="35">
        <v>30826.5</v>
      </c>
      <c r="I323" s="36"/>
      <c r="J323" s="35">
        <f>SUM(Table1[[#This Row],[LC Value]:[Amd Value]])</f>
        <v>30826.5</v>
      </c>
      <c r="K323" s="36">
        <v>3.76</v>
      </c>
      <c r="L323" s="37">
        <v>7650</v>
      </c>
      <c r="M323" s="33" t="s">
        <v>868</v>
      </c>
      <c r="N323" s="33" t="s">
        <v>1082</v>
      </c>
      <c r="O323" s="38" t="str">
        <f>IFERROR(_xlfn.XLOOKUP(C323, Data!$A$2:$A$236, Data!$C$2:$C$236), "")</f>
        <v>Mr. Sohel Sir</v>
      </c>
    </row>
    <row r="324" spans="1:15" ht="42" customHeight="1" x14ac:dyDescent="0.35">
      <c r="A324" s="41">
        <f t="shared" si="1"/>
        <v>445</v>
      </c>
      <c r="B324" s="30" t="s">
        <v>1894</v>
      </c>
      <c r="C324" s="39" t="s">
        <v>200</v>
      </c>
      <c r="D324" s="29" t="s">
        <v>98</v>
      </c>
      <c r="E324" s="32" t="s">
        <v>1895</v>
      </c>
      <c r="F324" s="33" t="s">
        <v>736</v>
      </c>
      <c r="G324" s="40">
        <v>46127</v>
      </c>
      <c r="H324" s="35">
        <v>34245</v>
      </c>
      <c r="I324" s="36"/>
      <c r="J324" s="35">
        <f>SUM(Table1[[#This Row],[LC Value]:[Amd Value]])</f>
        <v>34245</v>
      </c>
      <c r="K324" s="36">
        <v>3.8</v>
      </c>
      <c r="L324" s="37">
        <v>5050</v>
      </c>
      <c r="M324" s="33" t="s">
        <v>868</v>
      </c>
      <c r="N324" s="33" t="s">
        <v>1082</v>
      </c>
      <c r="O324" s="38" t="str">
        <f>IFERROR(_xlfn.XLOOKUP(C324, Data!$A$2:$A$236, Data!$C$2:$C$236), "")</f>
        <v>MD. Sir</v>
      </c>
    </row>
    <row r="325" spans="1:15" ht="42" customHeight="1" x14ac:dyDescent="0.35">
      <c r="A325" s="41">
        <f t="shared" si="1"/>
        <v>444</v>
      </c>
      <c r="B325" s="30" t="s">
        <v>1892</v>
      </c>
      <c r="C325" s="39" t="s">
        <v>199</v>
      </c>
      <c r="D325" s="29" t="s">
        <v>353</v>
      </c>
      <c r="E325" s="32" t="s">
        <v>1893</v>
      </c>
      <c r="F325" s="33" t="s">
        <v>736</v>
      </c>
      <c r="G325" s="40">
        <v>46127</v>
      </c>
      <c r="H325" s="35">
        <v>16865</v>
      </c>
      <c r="I325" s="36"/>
      <c r="J325" s="35">
        <f>SUM(Table1[[#This Row],[LC Value]:[Amd Value]])</f>
        <v>16865</v>
      </c>
      <c r="K325" s="36">
        <v>3.3</v>
      </c>
      <c r="L325" s="37">
        <v>5050</v>
      </c>
      <c r="M325" s="33" t="s">
        <v>868</v>
      </c>
      <c r="N325" s="33" t="s">
        <v>1082</v>
      </c>
      <c r="O325" s="38" t="str">
        <f>IFERROR(_xlfn.XLOOKUP(C325, Data!$A$2:$A$236, Data!$C$2:$C$236), "")</f>
        <v>MD. Sir</v>
      </c>
    </row>
    <row r="326" spans="1:15" ht="42" customHeight="1" x14ac:dyDescent="0.35">
      <c r="A326" s="41">
        <f t="shared" si="1"/>
        <v>443</v>
      </c>
      <c r="B326" s="30" t="s">
        <v>1890</v>
      </c>
      <c r="C326" s="39" t="s">
        <v>200</v>
      </c>
      <c r="D326" s="29" t="s">
        <v>98</v>
      </c>
      <c r="E326" s="32" t="s">
        <v>1891</v>
      </c>
      <c r="F326" s="33" t="s">
        <v>736</v>
      </c>
      <c r="G326" s="40">
        <v>46127</v>
      </c>
      <c r="H326" s="35">
        <v>13500</v>
      </c>
      <c r="I326" s="36"/>
      <c r="J326" s="35">
        <f>SUM(Table1[[#This Row],[LC Value]:[Amd Value]])</f>
        <v>13500</v>
      </c>
      <c r="K326" s="36">
        <v>4.5</v>
      </c>
      <c r="L326" s="37">
        <v>3750</v>
      </c>
      <c r="M326" s="33" t="s">
        <v>868</v>
      </c>
      <c r="N326" s="33" t="s">
        <v>1082</v>
      </c>
      <c r="O326" s="38" t="str">
        <f>IFERROR(_xlfn.XLOOKUP(C326, Data!$A$2:$A$236, Data!$C$2:$C$236), "")</f>
        <v>MD. Sir</v>
      </c>
    </row>
    <row r="327" spans="1:15" ht="42" customHeight="1" x14ac:dyDescent="0.35">
      <c r="A327" s="41">
        <f t="shared" si="1"/>
        <v>442</v>
      </c>
      <c r="B327" s="30" t="s">
        <v>1888</v>
      </c>
      <c r="C327" s="39" t="s">
        <v>200</v>
      </c>
      <c r="D327" s="29" t="s">
        <v>135</v>
      </c>
      <c r="E327" s="32" t="s">
        <v>1889</v>
      </c>
      <c r="F327" s="33" t="s">
        <v>736</v>
      </c>
      <c r="G327" s="40">
        <v>46127</v>
      </c>
      <c r="H327" s="35">
        <v>20115</v>
      </c>
      <c r="I327" s="36"/>
      <c r="J327" s="35">
        <f>SUM(Table1[[#This Row],[LC Value]:[Amd Value]])</f>
        <v>20115</v>
      </c>
      <c r="K327" s="36">
        <v>4.5</v>
      </c>
      <c r="L327" s="37">
        <v>4500</v>
      </c>
      <c r="M327" s="33" t="s">
        <v>868</v>
      </c>
      <c r="N327" s="33" t="s">
        <v>1082</v>
      </c>
      <c r="O327" s="38" t="str">
        <f>IFERROR(_xlfn.XLOOKUP(C327, Data!$A$2:$A$236, Data!$C$2:$C$236), "")</f>
        <v>MD. Sir</v>
      </c>
    </row>
    <row r="328" spans="1:15" ht="42" customHeight="1" x14ac:dyDescent="0.35">
      <c r="A328" s="41">
        <f t="shared" si="1"/>
        <v>441</v>
      </c>
      <c r="B328" s="30" t="s">
        <v>1886</v>
      </c>
      <c r="C328" s="39" t="s">
        <v>200</v>
      </c>
      <c r="D328" s="29" t="s">
        <v>98</v>
      </c>
      <c r="E328" s="32" t="s">
        <v>1887</v>
      </c>
      <c r="F328" s="33" t="s">
        <v>736</v>
      </c>
      <c r="G328" s="40">
        <v>46127</v>
      </c>
      <c r="H328" s="35">
        <v>16312.5</v>
      </c>
      <c r="I328" s="36"/>
      <c r="J328" s="35">
        <f>SUM(Table1[[#This Row],[LC Value]:[Amd Value]])</f>
        <v>16312.5</v>
      </c>
      <c r="K328" s="36">
        <v>4.5</v>
      </c>
      <c r="L328" s="37">
        <v>3650</v>
      </c>
      <c r="M328" s="33" t="s">
        <v>868</v>
      </c>
      <c r="N328" s="33" t="s">
        <v>1082</v>
      </c>
      <c r="O328" s="38" t="str">
        <f>IFERROR(_xlfn.XLOOKUP(C328, Data!$A$2:$A$236, Data!$C$2:$C$236), "")</f>
        <v>MD. Sir</v>
      </c>
    </row>
    <row r="329" spans="1:15" ht="42" customHeight="1" x14ac:dyDescent="0.35">
      <c r="A329" s="41">
        <f t="shared" si="1"/>
        <v>440</v>
      </c>
      <c r="B329" s="30" t="s">
        <v>1876</v>
      </c>
      <c r="C329" s="39" t="s">
        <v>1393</v>
      </c>
      <c r="D329" s="29" t="s">
        <v>1454</v>
      </c>
      <c r="E329" s="32" t="s">
        <v>1877</v>
      </c>
      <c r="F329" s="33" t="s">
        <v>736</v>
      </c>
      <c r="G329" s="40">
        <v>46131</v>
      </c>
      <c r="H329" s="35">
        <v>32505</v>
      </c>
      <c r="I329" s="36"/>
      <c r="J329" s="35">
        <f>SUM(Table1[[#This Row],[LC Value]:[Amd Value]])</f>
        <v>32505</v>
      </c>
      <c r="K329" s="36">
        <v>3.15</v>
      </c>
      <c r="L329" s="37">
        <v>9650</v>
      </c>
      <c r="M329" s="33" t="s">
        <v>868</v>
      </c>
      <c r="N329" s="33" t="s">
        <v>1082</v>
      </c>
      <c r="O329" s="38" t="str">
        <f>IFERROR(_xlfn.XLOOKUP(C329, Data!$A$2:$A$236, Data!$C$2:$C$236), "")</f>
        <v>Mr. Lipu Sir</v>
      </c>
    </row>
    <row r="330" spans="1:15" ht="42" customHeight="1" x14ac:dyDescent="0.35">
      <c r="A330" s="41">
        <f t="shared" si="1"/>
        <v>439</v>
      </c>
      <c r="B330" s="30" t="s">
        <v>1874</v>
      </c>
      <c r="C330" s="39" t="s">
        <v>112</v>
      </c>
      <c r="D330" s="29" t="s">
        <v>113</v>
      </c>
      <c r="E330" s="32" t="s">
        <v>1875</v>
      </c>
      <c r="F330" s="33" t="s">
        <v>736</v>
      </c>
      <c r="G330" s="40">
        <v>46127</v>
      </c>
      <c r="H330" s="35">
        <f>64600+98400</f>
        <v>163000</v>
      </c>
      <c r="I330" s="36">
        <v>-140</v>
      </c>
      <c r="J330" s="35">
        <f>SUM(Table1[[#This Row],[LC Value]:[Amd Value]])</f>
        <v>162860</v>
      </c>
      <c r="K330" s="36">
        <v>3.23</v>
      </c>
      <c r="L330" s="37">
        <v>50000</v>
      </c>
      <c r="M330" s="33" t="s">
        <v>868</v>
      </c>
      <c r="N330" s="33" t="s">
        <v>1082</v>
      </c>
      <c r="O330" s="38" t="str">
        <f>IFERROR(_xlfn.XLOOKUP(C330, Data!$A$2:$A$236, Data!$C$2:$C$236), "")</f>
        <v>Mr. Reza Sir</v>
      </c>
    </row>
    <row r="331" spans="1:15" ht="42" customHeight="1" x14ac:dyDescent="0.35">
      <c r="A331" s="41">
        <f t="shared" si="1"/>
        <v>438</v>
      </c>
      <c r="B331" s="30" t="s">
        <v>1870</v>
      </c>
      <c r="C331" s="39" t="s">
        <v>199</v>
      </c>
      <c r="D331" s="29" t="s">
        <v>32</v>
      </c>
      <c r="E331" s="32" t="s">
        <v>1871</v>
      </c>
      <c r="F331" s="33" t="s">
        <v>736</v>
      </c>
      <c r="G331" s="40">
        <v>46127</v>
      </c>
      <c r="H331" s="35">
        <v>134390</v>
      </c>
      <c r="I331" s="36"/>
      <c r="J331" s="35">
        <f>SUM(Table1[[#This Row],[LC Value]:[Amd Value]])</f>
        <v>134390</v>
      </c>
      <c r="K331" s="36">
        <v>3.85</v>
      </c>
      <c r="L331" s="37">
        <v>45300</v>
      </c>
      <c r="M331" s="33" t="s">
        <v>1010</v>
      </c>
      <c r="N331" s="33" t="s">
        <v>1172</v>
      </c>
      <c r="O331" s="38" t="str">
        <f>IFERROR(_xlfn.XLOOKUP(C331, Data!$A$2:$A$236, Data!$C$2:$C$236), "")</f>
        <v>MD. Sir</v>
      </c>
    </row>
    <row r="332" spans="1:15" ht="42" customHeight="1" x14ac:dyDescent="0.35">
      <c r="A332" s="41">
        <f t="shared" si="1"/>
        <v>437</v>
      </c>
      <c r="B332" s="30" t="s">
        <v>1868</v>
      </c>
      <c r="C332" s="39" t="s">
        <v>212</v>
      </c>
      <c r="D332" s="29" t="s">
        <v>1487</v>
      </c>
      <c r="E332" s="32" t="s">
        <v>1869</v>
      </c>
      <c r="F332" s="33" t="s">
        <v>736</v>
      </c>
      <c r="G332" s="40">
        <v>46127</v>
      </c>
      <c r="H332" s="35">
        <v>42265</v>
      </c>
      <c r="I332" s="36">
        <v>325</v>
      </c>
      <c r="J332" s="35">
        <f>SUM(Table1[[#This Row],[LC Value]:[Amd Value]])</f>
        <v>42590</v>
      </c>
      <c r="K332" s="36">
        <v>3.85</v>
      </c>
      <c r="L332" s="37">
        <v>10700</v>
      </c>
      <c r="M332" s="33" t="s">
        <v>1010</v>
      </c>
      <c r="N332" s="33" t="s">
        <v>1172</v>
      </c>
      <c r="O332" s="38" t="str">
        <f>IFERROR(_xlfn.XLOOKUP(C332, Data!$A$2:$A$236, Data!$C$2:$C$236), "")</f>
        <v>Mr. Reza Sir</v>
      </c>
    </row>
    <row r="333" spans="1:15" ht="42" customHeight="1" x14ac:dyDescent="0.35">
      <c r="A333" s="41">
        <f t="shared" si="1"/>
        <v>436</v>
      </c>
      <c r="B333" s="30" t="s">
        <v>1866</v>
      </c>
      <c r="C333" s="39" t="s">
        <v>212</v>
      </c>
      <c r="D333" s="29" t="s">
        <v>1487</v>
      </c>
      <c r="E333" s="32" t="s">
        <v>1867</v>
      </c>
      <c r="F333" s="33" t="s">
        <v>736</v>
      </c>
      <c r="G333" s="40">
        <v>46127</v>
      </c>
      <c r="H333" s="35">
        <v>13860</v>
      </c>
      <c r="I333" s="36"/>
      <c r="J333" s="35">
        <f>SUM(Table1[[#This Row],[LC Value]:[Amd Value]])</f>
        <v>13860</v>
      </c>
      <c r="K333" s="36">
        <v>3.85</v>
      </c>
      <c r="L333" s="37">
        <v>6300</v>
      </c>
      <c r="M333" s="33" t="s">
        <v>1010</v>
      </c>
      <c r="N333" s="33" t="s">
        <v>1172</v>
      </c>
      <c r="O333" s="38" t="str">
        <f>IFERROR(_xlfn.XLOOKUP(C333, Data!$A$2:$A$236, Data!$C$2:$C$236), "")</f>
        <v>Mr. Reza Sir</v>
      </c>
    </row>
    <row r="334" spans="1:15" ht="42" customHeight="1" x14ac:dyDescent="0.35">
      <c r="A334" s="41">
        <f t="shared" si="1"/>
        <v>435</v>
      </c>
      <c r="B334" s="30" t="s">
        <v>1864</v>
      </c>
      <c r="C334" s="39" t="s">
        <v>212</v>
      </c>
      <c r="D334" s="29" t="s">
        <v>1487</v>
      </c>
      <c r="E334" s="32" t="s">
        <v>1865</v>
      </c>
      <c r="F334" s="33" t="s">
        <v>736</v>
      </c>
      <c r="G334" s="40">
        <v>46127</v>
      </c>
      <c r="H334" s="35">
        <v>25965</v>
      </c>
      <c r="I334" s="36"/>
      <c r="J334" s="35">
        <f>SUM(Table1[[#This Row],[LC Value]:[Amd Value]])</f>
        <v>25965</v>
      </c>
      <c r="K334" s="36">
        <v>4.05</v>
      </c>
      <c r="L334" s="37">
        <v>6300</v>
      </c>
      <c r="M334" s="33" t="s">
        <v>1010</v>
      </c>
      <c r="N334" s="33" t="s">
        <v>1172</v>
      </c>
      <c r="O334" s="38" t="str">
        <f>IFERROR(_xlfn.XLOOKUP(C334, Data!$A$2:$A$236, Data!$C$2:$C$236), "")</f>
        <v>Mr. Reza Sir</v>
      </c>
    </row>
    <row r="335" spans="1:15" ht="42" customHeight="1" x14ac:dyDescent="0.35">
      <c r="A335" s="41">
        <f t="shared" si="1"/>
        <v>434</v>
      </c>
      <c r="B335" s="30" t="s">
        <v>1859</v>
      </c>
      <c r="C335" s="39" t="s">
        <v>64</v>
      </c>
      <c r="D335" s="29" t="s">
        <v>43</v>
      </c>
      <c r="E335" s="32" t="s">
        <v>1860</v>
      </c>
      <c r="F335" s="33" t="s">
        <v>1861</v>
      </c>
      <c r="G335" s="40">
        <v>46124</v>
      </c>
      <c r="H335" s="35">
        <v>3780</v>
      </c>
      <c r="I335" s="36"/>
      <c r="J335" s="35">
        <f>SUM(Table1[[#This Row],[LC Value]:[Amd Value]])</f>
        <v>3780</v>
      </c>
      <c r="K335" s="36">
        <v>3.15</v>
      </c>
      <c r="L335" s="37">
        <f>36700+40750</f>
        <v>77450</v>
      </c>
      <c r="M335" s="33" t="s">
        <v>931</v>
      </c>
      <c r="N335" s="33" t="s">
        <v>1010</v>
      </c>
      <c r="O335" s="38" t="str">
        <f>IFERROR(_xlfn.XLOOKUP(C335, Data!$A$2:$A$236, Data!$C$2:$C$236), "")</f>
        <v>Mr. Reza Sir</v>
      </c>
    </row>
    <row r="336" spans="1:15" ht="42" customHeight="1" x14ac:dyDescent="0.35">
      <c r="A336" s="41">
        <f t="shared" si="1"/>
        <v>433</v>
      </c>
      <c r="B336" s="30" t="s">
        <v>1857</v>
      </c>
      <c r="C336" s="39" t="s">
        <v>112</v>
      </c>
      <c r="D336" s="29" t="s">
        <v>113</v>
      </c>
      <c r="E336" s="32" t="s">
        <v>1858</v>
      </c>
      <c r="F336" s="33" t="s">
        <v>1196</v>
      </c>
      <c r="G336" s="40">
        <v>46121</v>
      </c>
      <c r="H336" s="35">
        <f>115605+130400</f>
        <v>246005</v>
      </c>
      <c r="I336" s="36">
        <v>6196</v>
      </c>
      <c r="J336" s="35">
        <f>SUM(Table1[[#This Row],[LC Value]:[Amd Value]])</f>
        <v>252201</v>
      </c>
      <c r="K336" s="36">
        <v>3.15</v>
      </c>
      <c r="L336" s="37">
        <f>36700+40750</f>
        <v>77450</v>
      </c>
      <c r="M336" s="33" t="s">
        <v>931</v>
      </c>
      <c r="N336" s="33" t="s">
        <v>1010</v>
      </c>
      <c r="O336" s="38" t="str">
        <f>IFERROR(_xlfn.XLOOKUP(C336, Data!$A$2:$A$236, Data!$C$2:$C$236), "")</f>
        <v>Mr. Reza Sir</v>
      </c>
    </row>
    <row r="337" spans="1:15" ht="42" customHeight="1" x14ac:dyDescent="0.35">
      <c r="A337" s="41">
        <f t="shared" si="1"/>
        <v>432</v>
      </c>
      <c r="B337" s="30" t="s">
        <v>1853</v>
      </c>
      <c r="C337" s="39" t="s">
        <v>200</v>
      </c>
      <c r="D337" s="29" t="s">
        <v>79</v>
      </c>
      <c r="E337" s="32" t="s">
        <v>1854</v>
      </c>
      <c r="F337" s="33">
        <v>46120</v>
      </c>
      <c r="G337" s="40">
        <v>46127</v>
      </c>
      <c r="H337" s="35">
        <v>29362.5</v>
      </c>
      <c r="I337" s="36"/>
      <c r="J337" s="35">
        <f>SUM(Table1[[#This Row],[LC Value]:[Amd Value]])</f>
        <v>29362.5</v>
      </c>
      <c r="K337" s="36">
        <v>2.6</v>
      </c>
      <c r="L337" s="37">
        <v>7250</v>
      </c>
      <c r="M337" s="33" t="s">
        <v>931</v>
      </c>
      <c r="N337" s="33" t="s">
        <v>1010</v>
      </c>
      <c r="O337" s="38" t="str">
        <f>IFERROR(_xlfn.XLOOKUP(C337, Data!$A$2:$A$236, Data!$C$2:$C$236), "")</f>
        <v>MD. Sir</v>
      </c>
    </row>
    <row r="338" spans="1:15" ht="42" customHeight="1" x14ac:dyDescent="0.35">
      <c r="A338" s="41">
        <f t="shared" si="1"/>
        <v>431</v>
      </c>
      <c r="B338" s="30" t="s">
        <v>1851</v>
      </c>
      <c r="C338" s="39" t="s">
        <v>200</v>
      </c>
      <c r="D338" s="29" t="s">
        <v>79</v>
      </c>
      <c r="E338" s="32" t="s">
        <v>1852</v>
      </c>
      <c r="F338" s="33">
        <v>46120</v>
      </c>
      <c r="G338" s="40">
        <v>46127</v>
      </c>
      <c r="H338" s="35">
        <v>68062.5</v>
      </c>
      <c r="I338" s="36"/>
      <c r="J338" s="35">
        <f>SUM(Table1[[#This Row],[LC Value]:[Amd Value]])</f>
        <v>68062.5</v>
      </c>
      <c r="K338" s="36">
        <v>2.6</v>
      </c>
      <c r="L338" s="37">
        <v>18150</v>
      </c>
      <c r="M338" s="33" t="s">
        <v>931</v>
      </c>
      <c r="N338" s="33" t="s">
        <v>1010</v>
      </c>
      <c r="O338" s="38" t="str">
        <f>IFERROR(_xlfn.XLOOKUP(C338, Data!$A$2:$A$236, Data!$C$2:$C$236), "")</f>
        <v>MD. Sir</v>
      </c>
    </row>
    <row r="339" spans="1:15" ht="42" customHeight="1" x14ac:dyDescent="0.35">
      <c r="A339" s="41">
        <f t="shared" si="1"/>
        <v>430</v>
      </c>
      <c r="B339" s="30" t="s">
        <v>1849</v>
      </c>
      <c r="C339" s="39" t="s">
        <v>199</v>
      </c>
      <c r="D339" s="29" t="s">
        <v>353</v>
      </c>
      <c r="E339" s="32" t="s">
        <v>1850</v>
      </c>
      <c r="F339" s="33">
        <v>46120</v>
      </c>
      <c r="G339" s="40">
        <v>46127</v>
      </c>
      <c r="H339" s="35">
        <v>90870</v>
      </c>
      <c r="I339" s="36"/>
      <c r="J339" s="35">
        <f>SUM(Table1[[#This Row],[LC Value]:[Amd Value]])</f>
        <v>90870</v>
      </c>
      <c r="K339" s="36">
        <v>2.6</v>
      </c>
      <c r="L339" s="37">
        <v>34950</v>
      </c>
      <c r="M339" s="33" t="s">
        <v>931</v>
      </c>
      <c r="N339" s="33" t="s">
        <v>1010</v>
      </c>
      <c r="O339" s="38" t="str">
        <f>IFERROR(_xlfn.XLOOKUP(C339, Data!$A$2:$A$236, Data!$C$2:$C$236), "")</f>
        <v>MD. Sir</v>
      </c>
    </row>
    <row r="340" spans="1:15" ht="42" customHeight="1" x14ac:dyDescent="0.35">
      <c r="A340" s="41">
        <f t="shared" si="1"/>
        <v>429</v>
      </c>
      <c r="B340" s="30" t="s">
        <v>1847</v>
      </c>
      <c r="C340" s="39" t="s">
        <v>1772</v>
      </c>
      <c r="D340" s="29" t="s">
        <v>72</v>
      </c>
      <c r="E340" s="32" t="s">
        <v>1848</v>
      </c>
      <c r="F340" s="33">
        <v>46120</v>
      </c>
      <c r="G340" s="40">
        <v>46127</v>
      </c>
      <c r="H340" s="35">
        <v>12160</v>
      </c>
      <c r="I340" s="36"/>
      <c r="J340" s="35">
        <f>SUM(Table1[[#This Row],[LC Value]:[Amd Value]])</f>
        <v>12160</v>
      </c>
      <c r="K340" s="36">
        <v>3.2</v>
      </c>
      <c r="L340" s="37">
        <v>3800</v>
      </c>
      <c r="M340" s="33" t="s">
        <v>931</v>
      </c>
      <c r="N340" s="33" t="s">
        <v>1010</v>
      </c>
      <c r="O340" s="38" t="str">
        <f>IFERROR(_xlfn.XLOOKUP(C340, Data!$A$2:$A$236, Data!$C$2:$C$236), "")</f>
        <v>Mr. Lipu Sir</v>
      </c>
    </row>
    <row r="341" spans="1:15" ht="42" customHeight="1" x14ac:dyDescent="0.35">
      <c r="A341" s="41">
        <f t="shared" si="1"/>
        <v>428</v>
      </c>
      <c r="B341" s="30" t="s">
        <v>1845</v>
      </c>
      <c r="C341" s="39" t="s">
        <v>214</v>
      </c>
      <c r="D341" s="29" t="s">
        <v>215</v>
      </c>
      <c r="E341" s="32" t="s">
        <v>1846</v>
      </c>
      <c r="F341" s="33">
        <v>46120</v>
      </c>
      <c r="G341" s="40">
        <v>46132</v>
      </c>
      <c r="H341" s="35">
        <v>31500</v>
      </c>
      <c r="I341" s="36"/>
      <c r="J341" s="35">
        <f>SUM(Table1[[#This Row],[LC Value]:[Amd Value]])</f>
        <v>31500</v>
      </c>
      <c r="K341" s="36">
        <v>3.15</v>
      </c>
      <c r="L341" s="37">
        <v>10000</v>
      </c>
      <c r="M341" s="33" t="s">
        <v>1457</v>
      </c>
      <c r="N341" s="33" t="s">
        <v>1485</v>
      </c>
      <c r="O341" s="38" t="str">
        <f>IFERROR(_xlfn.XLOOKUP(C341, Data!$A$2:$A$236, Data!$C$2:$C$236), "")</f>
        <v>Mr. Lipu Sir</v>
      </c>
    </row>
    <row r="342" spans="1:15" ht="42" customHeight="1" x14ac:dyDescent="0.35">
      <c r="A342" s="41">
        <f t="shared" si="1"/>
        <v>427</v>
      </c>
      <c r="B342" s="30" t="s">
        <v>1843</v>
      </c>
      <c r="C342" s="39" t="s">
        <v>174</v>
      </c>
      <c r="D342" s="29" t="s">
        <v>2691</v>
      </c>
      <c r="E342" s="32" t="s">
        <v>1844</v>
      </c>
      <c r="F342" s="33">
        <v>46120</v>
      </c>
      <c r="G342" s="40">
        <v>46127</v>
      </c>
      <c r="H342" s="35">
        <v>8660</v>
      </c>
      <c r="I342" s="36"/>
      <c r="J342" s="35">
        <f>SUM(Table1[[#This Row],[LC Value]:[Amd Value]])</f>
        <v>8660</v>
      </c>
      <c r="K342" s="36">
        <v>3.2</v>
      </c>
      <c r="L342" s="37">
        <v>2450</v>
      </c>
      <c r="M342" s="33" t="s">
        <v>1830</v>
      </c>
      <c r="N342" s="33" t="s">
        <v>1829</v>
      </c>
      <c r="O342" s="38" t="str">
        <f>IFERROR(_xlfn.XLOOKUP(C342, Data!$A$2:$A$236, Data!$C$2:$C$236), "")</f>
        <v>Mr. Reza Sir</v>
      </c>
    </row>
    <row r="343" spans="1:15" ht="42" customHeight="1" x14ac:dyDescent="0.35">
      <c r="A343" s="41">
        <f t="shared" si="1"/>
        <v>426</v>
      </c>
      <c r="B343" s="30" t="s">
        <v>1841</v>
      </c>
      <c r="C343" s="39" t="s">
        <v>174</v>
      </c>
      <c r="D343" s="29" t="s">
        <v>2691</v>
      </c>
      <c r="E343" s="32" t="s">
        <v>1842</v>
      </c>
      <c r="F343" s="33">
        <v>46120</v>
      </c>
      <c r="G343" s="40">
        <v>46127</v>
      </c>
      <c r="H343" s="35">
        <v>11365</v>
      </c>
      <c r="I343" s="36"/>
      <c r="J343" s="35">
        <f>SUM(Table1[[#This Row],[LC Value]:[Amd Value]])</f>
        <v>11365</v>
      </c>
      <c r="K343" s="36">
        <v>3.2</v>
      </c>
      <c r="L343" s="37">
        <v>3100</v>
      </c>
      <c r="M343" s="33" t="s">
        <v>1830</v>
      </c>
      <c r="N343" s="33" t="s">
        <v>1829</v>
      </c>
      <c r="O343" s="38" t="str">
        <f>IFERROR(_xlfn.XLOOKUP(C343, Data!$A$2:$A$236, Data!$C$2:$C$236), "")</f>
        <v>Mr. Reza Sir</v>
      </c>
    </row>
    <row r="344" spans="1:15" ht="42" customHeight="1" x14ac:dyDescent="0.35">
      <c r="A344" s="41">
        <f t="shared" si="1"/>
        <v>425</v>
      </c>
      <c r="B344" s="30" t="s">
        <v>1839</v>
      </c>
      <c r="C344" s="39" t="s">
        <v>174</v>
      </c>
      <c r="D344" s="29" t="s">
        <v>2691</v>
      </c>
      <c r="E344" s="32" t="s">
        <v>1840</v>
      </c>
      <c r="F344" s="33">
        <v>46120</v>
      </c>
      <c r="G344" s="40">
        <v>46127</v>
      </c>
      <c r="H344" s="35">
        <v>19480</v>
      </c>
      <c r="I344" s="36"/>
      <c r="J344" s="35">
        <f>SUM(Table1[[#This Row],[LC Value]:[Amd Value]])</f>
        <v>19480</v>
      </c>
      <c r="K344" s="36">
        <v>3.2</v>
      </c>
      <c r="L344" s="37">
        <v>5400</v>
      </c>
      <c r="M344" s="33" t="s">
        <v>1830</v>
      </c>
      <c r="N344" s="33" t="s">
        <v>1829</v>
      </c>
      <c r="O344" s="38" t="str">
        <f>IFERROR(_xlfn.XLOOKUP(C344, Data!$A$2:$A$236, Data!$C$2:$C$236), "")</f>
        <v>Mr. Reza Sir</v>
      </c>
    </row>
    <row r="345" spans="1:15" ht="42" customHeight="1" x14ac:dyDescent="0.35">
      <c r="A345" s="41">
        <f t="shared" si="1"/>
        <v>424</v>
      </c>
      <c r="B345" s="30" t="s">
        <v>1837</v>
      </c>
      <c r="C345" s="39" t="s">
        <v>214</v>
      </c>
      <c r="D345" s="29" t="s">
        <v>224</v>
      </c>
      <c r="E345" s="32" t="s">
        <v>1838</v>
      </c>
      <c r="F345" s="33">
        <v>46120</v>
      </c>
      <c r="G345" s="40">
        <v>46132</v>
      </c>
      <c r="H345" s="35">
        <v>31500</v>
      </c>
      <c r="I345" s="36"/>
      <c r="J345" s="35">
        <f>SUM(Table1[[#This Row],[LC Value]:[Amd Value]])</f>
        <v>31500</v>
      </c>
      <c r="K345" s="36">
        <v>3.15</v>
      </c>
      <c r="L345" s="37">
        <v>10000</v>
      </c>
      <c r="M345" s="33" t="s">
        <v>1830</v>
      </c>
      <c r="N345" s="33" t="s">
        <v>1829</v>
      </c>
      <c r="O345" s="38" t="str">
        <f>IFERROR(_xlfn.XLOOKUP(C345, Data!$A$2:$A$236, Data!$C$2:$C$236), "")</f>
        <v>Mr. Lipu Sir</v>
      </c>
    </row>
    <row r="346" spans="1:15" ht="42" customHeight="1" x14ac:dyDescent="0.35">
      <c r="A346" s="41">
        <f t="shared" si="1"/>
        <v>423</v>
      </c>
      <c r="B346" s="30" t="s">
        <v>1835</v>
      </c>
      <c r="C346" s="39" t="s">
        <v>214</v>
      </c>
      <c r="D346" s="29" t="s">
        <v>224</v>
      </c>
      <c r="E346" s="32" t="s">
        <v>1836</v>
      </c>
      <c r="F346" s="33">
        <v>46120</v>
      </c>
      <c r="G346" s="40">
        <v>46132</v>
      </c>
      <c r="H346" s="35">
        <v>55035</v>
      </c>
      <c r="I346" s="36"/>
      <c r="J346" s="35">
        <f>SUM(Table1[[#This Row],[LC Value]:[Amd Value]])</f>
        <v>55035</v>
      </c>
      <c r="K346" s="36">
        <v>3.15</v>
      </c>
      <c r="L346" s="37">
        <v>15950</v>
      </c>
      <c r="M346" s="33" t="s">
        <v>1131</v>
      </c>
      <c r="N346" s="33" t="s">
        <v>1457</v>
      </c>
      <c r="O346" s="38" t="str">
        <f>IFERROR(_xlfn.XLOOKUP(C346, Data!$A$2:$A$236, Data!$C$2:$C$236), "")</f>
        <v>Mr. Lipu Sir</v>
      </c>
    </row>
    <row r="347" spans="1:15" ht="42" customHeight="1" x14ac:dyDescent="0.35">
      <c r="A347" s="41">
        <f t="shared" si="1"/>
        <v>422</v>
      </c>
      <c r="B347" s="30" t="s">
        <v>1833</v>
      </c>
      <c r="C347" s="39" t="s">
        <v>185</v>
      </c>
      <c r="D347" s="29" t="s">
        <v>115</v>
      </c>
      <c r="E347" s="32" t="s">
        <v>1834</v>
      </c>
      <c r="F347" s="33" t="s">
        <v>1809</v>
      </c>
      <c r="G347" s="40">
        <v>46121</v>
      </c>
      <c r="H347" s="35">
        <v>325000</v>
      </c>
      <c r="I347" s="36"/>
      <c r="J347" s="35">
        <f>SUM(Table1[[#This Row],[LC Value]:[Amd Value]])</f>
        <v>325000</v>
      </c>
      <c r="K347" s="36">
        <v>3.25</v>
      </c>
      <c r="L347" s="37">
        <v>100000</v>
      </c>
      <c r="M347" s="33" t="s">
        <v>1830</v>
      </c>
      <c r="N347" s="33" t="s">
        <v>1829</v>
      </c>
      <c r="O347" s="38" t="str">
        <f>IFERROR(_xlfn.XLOOKUP(C347, Data!$A$2:$A$236, Data!$C$2:$C$236), "")</f>
        <v>Director Sir</v>
      </c>
    </row>
    <row r="348" spans="1:15" ht="42" customHeight="1" x14ac:dyDescent="0.35">
      <c r="A348" s="41">
        <f t="shared" si="1"/>
        <v>421</v>
      </c>
      <c r="B348" s="30" t="s">
        <v>1831</v>
      </c>
      <c r="C348" s="39" t="s">
        <v>185</v>
      </c>
      <c r="D348" s="29" t="s">
        <v>115</v>
      </c>
      <c r="E348" s="32" t="s">
        <v>1832</v>
      </c>
      <c r="F348" s="33" t="s">
        <v>1809</v>
      </c>
      <c r="G348" s="40">
        <v>46121</v>
      </c>
      <c r="H348" s="35">
        <v>325000</v>
      </c>
      <c r="I348" s="36"/>
      <c r="J348" s="35">
        <f>SUM(Table1[[#This Row],[LC Value]:[Amd Value]])</f>
        <v>325000</v>
      </c>
      <c r="K348" s="36">
        <v>3.25</v>
      </c>
      <c r="L348" s="37">
        <v>100000</v>
      </c>
      <c r="M348" s="33" t="s">
        <v>1830</v>
      </c>
      <c r="N348" s="33" t="s">
        <v>1829</v>
      </c>
      <c r="O348" s="38" t="str">
        <f>IFERROR(_xlfn.XLOOKUP(C348, Data!$A$2:$A$236, Data!$C$2:$C$236), "")</f>
        <v>Director Sir</v>
      </c>
    </row>
    <row r="349" spans="1:15" ht="42" customHeight="1" x14ac:dyDescent="0.35">
      <c r="A349" s="41">
        <f t="shared" si="1"/>
        <v>420</v>
      </c>
      <c r="B349" s="30" t="s">
        <v>1827</v>
      </c>
      <c r="C349" s="39" t="s">
        <v>185</v>
      </c>
      <c r="D349" s="29" t="s">
        <v>115</v>
      </c>
      <c r="E349" s="32" t="s">
        <v>1828</v>
      </c>
      <c r="F349" s="33" t="s">
        <v>1809</v>
      </c>
      <c r="G349" s="40">
        <v>46121</v>
      </c>
      <c r="H349" s="35">
        <v>345000</v>
      </c>
      <c r="I349" s="36"/>
      <c r="J349" s="35">
        <f>SUM(Table1[[#This Row],[LC Value]:[Amd Value]])</f>
        <v>345000</v>
      </c>
      <c r="K349" s="36">
        <v>3.45</v>
      </c>
      <c r="L349" s="37">
        <v>100000</v>
      </c>
      <c r="M349" s="33" t="s">
        <v>1830</v>
      </c>
      <c r="N349" s="33" t="s">
        <v>1829</v>
      </c>
      <c r="O349" s="38" t="str">
        <f>IFERROR(_xlfn.XLOOKUP(C349, Data!$A$2:$A$236, Data!$C$2:$C$236), "")</f>
        <v>Director Sir</v>
      </c>
    </row>
    <row r="350" spans="1:15" ht="42" customHeight="1" x14ac:dyDescent="0.35">
      <c r="A350" s="41">
        <f t="shared" si="1"/>
        <v>419</v>
      </c>
      <c r="B350" s="30" t="s">
        <v>1825</v>
      </c>
      <c r="C350" s="39" t="s">
        <v>199</v>
      </c>
      <c r="D350" s="29" t="s">
        <v>353</v>
      </c>
      <c r="E350" s="32" t="s">
        <v>1826</v>
      </c>
      <c r="F350" s="33" t="s">
        <v>1809</v>
      </c>
      <c r="G350" s="40">
        <v>46121</v>
      </c>
      <c r="H350" s="35">
        <v>54870</v>
      </c>
      <c r="I350" s="36"/>
      <c r="J350" s="35">
        <f>SUM(Table1[[#This Row],[LC Value]:[Amd Value]])</f>
        <v>54870</v>
      </c>
      <c r="K350" s="36">
        <v>3</v>
      </c>
      <c r="L350" s="37">
        <v>18600</v>
      </c>
      <c r="M350" s="33" t="s">
        <v>1131</v>
      </c>
      <c r="N350" s="33" t="s">
        <v>1332</v>
      </c>
      <c r="O350" s="38" t="str">
        <f>IFERROR(_xlfn.XLOOKUP(C350, Data!$A$2:$A$236, Data!$C$2:$C$236), "")</f>
        <v>MD. Sir</v>
      </c>
    </row>
    <row r="351" spans="1:15" ht="42" customHeight="1" x14ac:dyDescent="0.35">
      <c r="A351" s="41">
        <f t="shared" si="1"/>
        <v>418</v>
      </c>
      <c r="B351" s="30" t="s">
        <v>1823</v>
      </c>
      <c r="C351" s="39" t="s">
        <v>199</v>
      </c>
      <c r="D351" s="29" t="s">
        <v>98</v>
      </c>
      <c r="E351" s="32" t="s">
        <v>1824</v>
      </c>
      <c r="F351" s="33" t="s">
        <v>1809</v>
      </c>
      <c r="G351" s="40">
        <v>46121</v>
      </c>
      <c r="H351" s="35">
        <v>98635</v>
      </c>
      <c r="I351" s="36"/>
      <c r="J351" s="35">
        <f>SUM(Table1[[#This Row],[LC Value]:[Amd Value]])</f>
        <v>98635</v>
      </c>
      <c r="K351" s="36">
        <v>3</v>
      </c>
      <c r="L351" s="37">
        <v>33550</v>
      </c>
      <c r="M351" s="33" t="s">
        <v>1131</v>
      </c>
      <c r="N351" s="33" t="s">
        <v>1332</v>
      </c>
      <c r="O351" s="38" t="str">
        <f>IFERROR(_xlfn.XLOOKUP(C351, Data!$A$2:$A$236, Data!$C$2:$C$236), "")</f>
        <v>MD. Sir</v>
      </c>
    </row>
    <row r="352" spans="1:15" ht="42" customHeight="1" x14ac:dyDescent="0.35">
      <c r="A352" s="41">
        <f t="shared" si="1"/>
        <v>417</v>
      </c>
      <c r="B352" s="30" t="s">
        <v>1819</v>
      </c>
      <c r="C352" s="39" t="s">
        <v>260</v>
      </c>
      <c r="D352" s="29" t="s">
        <v>261</v>
      </c>
      <c r="E352" s="32" t="s">
        <v>1820</v>
      </c>
      <c r="F352" s="33" t="s">
        <v>1809</v>
      </c>
      <c r="G352" s="40">
        <v>46133</v>
      </c>
      <c r="H352" s="35">
        <v>105850</v>
      </c>
      <c r="I352" s="36">
        <v>6860</v>
      </c>
      <c r="J352" s="35">
        <f>SUM(Table1[[#This Row],[LC Value]:[Amd Value]])</f>
        <v>112710</v>
      </c>
      <c r="K352" s="36">
        <v>3.5</v>
      </c>
      <c r="L352" s="37">
        <v>30000</v>
      </c>
      <c r="M352" s="33" t="s">
        <v>1131</v>
      </c>
      <c r="N352" s="33" t="s">
        <v>1332</v>
      </c>
      <c r="O352" s="38" t="str">
        <f>IFERROR(_xlfn.XLOOKUP(C352, Data!$A$2:$A$236, Data!$C$2:$C$236), "")</f>
        <v>Mr. Wadud Sir</v>
      </c>
    </row>
    <row r="353" spans="1:15" ht="42" customHeight="1" x14ac:dyDescent="0.35">
      <c r="A353" s="41">
        <f t="shared" si="1"/>
        <v>416</v>
      </c>
      <c r="B353" s="30" t="s">
        <v>1817</v>
      </c>
      <c r="C353" s="39" t="s">
        <v>1815</v>
      </c>
      <c r="D353" s="29" t="s">
        <v>115</v>
      </c>
      <c r="E353" s="32" t="s">
        <v>1818</v>
      </c>
      <c r="F353" s="33">
        <v>46118</v>
      </c>
      <c r="G353" s="40">
        <v>46124</v>
      </c>
      <c r="H353" s="35">
        <v>78750</v>
      </c>
      <c r="I353" s="36"/>
      <c r="J353" s="35">
        <f>SUM(Table1[[#This Row],[LC Value]:[Amd Value]])</f>
        <v>78750</v>
      </c>
      <c r="K353" s="36">
        <v>3.6</v>
      </c>
      <c r="L353" s="37">
        <v>25000</v>
      </c>
      <c r="M353" s="33" t="s">
        <v>1172</v>
      </c>
      <c r="N353" s="33" t="s">
        <v>1485</v>
      </c>
      <c r="O353" s="38" t="str">
        <f>IFERROR(_xlfn.XLOOKUP(C353, Data!$A$2:$A$236, Data!$C$2:$C$236), "")</f>
        <v>Mr. Amran Sir</v>
      </c>
    </row>
    <row r="354" spans="1:15" ht="42" customHeight="1" x14ac:dyDescent="0.35">
      <c r="A354" s="41">
        <f t="shared" si="1"/>
        <v>415</v>
      </c>
      <c r="B354" s="30" t="s">
        <v>1814</v>
      </c>
      <c r="C354" s="39" t="s">
        <v>1815</v>
      </c>
      <c r="D354" s="29" t="s">
        <v>115</v>
      </c>
      <c r="E354" s="32" t="s">
        <v>1816</v>
      </c>
      <c r="F354" s="33">
        <v>46118</v>
      </c>
      <c r="G354" s="40">
        <v>46121</v>
      </c>
      <c r="H354" s="35">
        <v>78750</v>
      </c>
      <c r="I354" s="36"/>
      <c r="J354" s="35">
        <f>SUM(Table1[[#This Row],[LC Value]:[Amd Value]])</f>
        <v>78750</v>
      </c>
      <c r="K354" s="36">
        <v>3.6</v>
      </c>
      <c r="L354" s="37">
        <v>25000</v>
      </c>
      <c r="M354" s="33" t="s">
        <v>1172</v>
      </c>
      <c r="N354" s="33" t="s">
        <v>1485</v>
      </c>
      <c r="O354" s="38" t="str">
        <f>IFERROR(_xlfn.XLOOKUP(C354, Data!$A$2:$A$236, Data!$C$2:$C$236), "")</f>
        <v>Mr. Amran Sir</v>
      </c>
    </row>
    <row r="355" spans="1:15" ht="42" customHeight="1" x14ac:dyDescent="0.35">
      <c r="A355" s="41">
        <f t="shared" si="1"/>
        <v>414</v>
      </c>
      <c r="B355" s="30" t="s">
        <v>1812</v>
      </c>
      <c r="C355" s="39" t="s">
        <v>201</v>
      </c>
      <c r="D355" s="29" t="s">
        <v>95</v>
      </c>
      <c r="E355" s="32" t="s">
        <v>1813</v>
      </c>
      <c r="F355" s="33">
        <v>46118</v>
      </c>
      <c r="G355" s="40">
        <v>46130</v>
      </c>
      <c r="H355" s="35">
        <v>180000</v>
      </c>
      <c r="I355" s="36"/>
      <c r="J355" s="35">
        <f>SUM(Table1[[#This Row],[LC Value]:[Amd Value]])</f>
        <v>180000</v>
      </c>
      <c r="K355" s="36">
        <v>3.6</v>
      </c>
      <c r="L355" s="37">
        <v>50000</v>
      </c>
      <c r="M355" s="33" t="s">
        <v>1263</v>
      </c>
      <c r="N355" s="33" t="s">
        <v>1172</v>
      </c>
      <c r="O355" s="38" t="str">
        <f>IFERROR(_xlfn.XLOOKUP(C355, Data!$A$2:$A$236, Data!$C$2:$C$236), "")</f>
        <v>Director Sir</v>
      </c>
    </row>
    <row r="356" spans="1:15" ht="42" customHeight="1" x14ac:dyDescent="0.35">
      <c r="A356" s="41">
        <f t="shared" si="1"/>
        <v>413</v>
      </c>
      <c r="B356" s="30" t="s">
        <v>1810</v>
      </c>
      <c r="C356" s="39" t="s">
        <v>64</v>
      </c>
      <c r="D356" s="29" t="s">
        <v>43</v>
      </c>
      <c r="E356" s="32" t="s">
        <v>1811</v>
      </c>
      <c r="F356" s="33">
        <v>46118</v>
      </c>
      <c r="G356" s="40">
        <v>46124</v>
      </c>
      <c r="H356" s="35">
        <v>42175</v>
      </c>
      <c r="I356" s="36"/>
      <c r="J356" s="35">
        <f>SUM(Table1[[#This Row],[LC Value]:[Amd Value]])</f>
        <v>42175</v>
      </c>
      <c r="K356" s="36">
        <v>3.5</v>
      </c>
      <c r="L356" s="37">
        <v>11550</v>
      </c>
      <c r="M356" s="33" t="s">
        <v>1806</v>
      </c>
      <c r="N356" s="33" t="s">
        <v>1805</v>
      </c>
      <c r="O356" s="38" t="str">
        <f>IFERROR(_xlfn.XLOOKUP(C356, Data!$A$2:$A$236, Data!$C$2:$C$236), "")</f>
        <v>Mr. Reza Sir</v>
      </c>
    </row>
    <row r="357" spans="1:15" ht="42" customHeight="1" x14ac:dyDescent="0.35">
      <c r="A357" s="41">
        <f t="shared" si="1"/>
        <v>412</v>
      </c>
      <c r="B357" s="30" t="s">
        <v>1802</v>
      </c>
      <c r="C357" s="39" t="s">
        <v>595</v>
      </c>
      <c r="D357" s="29" t="s">
        <v>222</v>
      </c>
      <c r="E357" s="32" t="s">
        <v>1803</v>
      </c>
      <c r="F357" s="33">
        <v>46118</v>
      </c>
      <c r="G357" s="40">
        <v>46121</v>
      </c>
      <c r="H357" s="35">
        <v>24715</v>
      </c>
      <c r="I357" s="36"/>
      <c r="J357" s="35">
        <f>SUM(Table1[[#This Row],[LC Value]:[Amd Value]])</f>
        <v>24715</v>
      </c>
      <c r="K357" s="36">
        <v>3.55</v>
      </c>
      <c r="L357" s="37">
        <v>6800</v>
      </c>
      <c r="M357" s="33" t="s">
        <v>1806</v>
      </c>
      <c r="N357" s="33" t="s">
        <v>1805</v>
      </c>
      <c r="O357" s="38" t="str">
        <f>IFERROR(_xlfn.XLOOKUP(C357, Data!$A$2:$A$236, Data!$C$2:$C$236), "")</f>
        <v>MD. Sir</v>
      </c>
    </row>
    <row r="358" spans="1:15" ht="42" customHeight="1" x14ac:dyDescent="0.35">
      <c r="A358" s="41">
        <f t="shared" si="1"/>
        <v>411</v>
      </c>
      <c r="B358" s="30" t="s">
        <v>1800</v>
      </c>
      <c r="C358" s="39" t="s">
        <v>195</v>
      </c>
      <c r="D358" s="29" t="s">
        <v>1168</v>
      </c>
      <c r="E358" s="32" t="s">
        <v>1801</v>
      </c>
      <c r="F358" s="33">
        <v>46118</v>
      </c>
      <c r="G358" s="40">
        <v>46121</v>
      </c>
      <c r="H358" s="35">
        <v>62100</v>
      </c>
      <c r="I358" s="36">
        <v>45200</v>
      </c>
      <c r="J358" s="35">
        <f>SUM(Table1[[#This Row],[LC Value]:[Amd Value]])</f>
        <v>107300</v>
      </c>
      <c r="K358" s="36">
        <v>3.45</v>
      </c>
      <c r="L358" s="37">
        <v>18000</v>
      </c>
      <c r="M358" s="33" t="s">
        <v>1332</v>
      </c>
      <c r="N358" s="33" t="s">
        <v>1799</v>
      </c>
      <c r="O358" s="38" t="str">
        <f>IFERROR(_xlfn.XLOOKUP(C358, Data!$A$2:$A$236, Data!$C$2:$C$236), "")</f>
        <v>Mr. Lipu Sir</v>
      </c>
    </row>
    <row r="359" spans="1:15" ht="42" customHeight="1" x14ac:dyDescent="0.35">
      <c r="A359" s="41">
        <f t="shared" si="1"/>
        <v>410</v>
      </c>
      <c r="B359" s="30" t="s">
        <v>1797</v>
      </c>
      <c r="C359" s="39" t="s">
        <v>246</v>
      </c>
      <c r="D359" s="29" t="s">
        <v>98</v>
      </c>
      <c r="E359" s="32" t="s">
        <v>1798</v>
      </c>
      <c r="F359" s="33">
        <v>46118</v>
      </c>
      <c r="G359" s="40">
        <v>46121</v>
      </c>
      <c r="H359" s="35">
        <v>32210</v>
      </c>
      <c r="I359" s="36"/>
      <c r="J359" s="35">
        <f>SUM(Table1[[#This Row],[LC Value]:[Amd Value]])</f>
        <v>32210</v>
      </c>
      <c r="K359" s="36">
        <v>3.65</v>
      </c>
      <c r="L359" s="37">
        <v>8900</v>
      </c>
      <c r="M359" s="33" t="s">
        <v>1332</v>
      </c>
      <c r="N359" s="33" t="s">
        <v>1799</v>
      </c>
      <c r="O359" s="38" t="str">
        <f>IFERROR(_xlfn.XLOOKUP(C359, Data!$A$2:$A$236, Data!$C$2:$C$236), "")</f>
        <v>Mr. Sohel Sir</v>
      </c>
    </row>
    <row r="360" spans="1:15" ht="42" customHeight="1" x14ac:dyDescent="0.35">
      <c r="A360" s="41">
        <f t="shared" si="1"/>
        <v>409</v>
      </c>
      <c r="B360" s="30" t="s">
        <v>1795</v>
      </c>
      <c r="C360" s="39" t="s">
        <v>188</v>
      </c>
      <c r="D360" s="29" t="s">
        <v>39</v>
      </c>
      <c r="E360" s="32" t="s">
        <v>1796</v>
      </c>
      <c r="F360" s="33">
        <v>46118</v>
      </c>
      <c r="G360" s="40">
        <v>46121</v>
      </c>
      <c r="H360" s="35">
        <f>25550+22400</f>
        <v>47950</v>
      </c>
      <c r="I360" s="36"/>
      <c r="J360" s="35">
        <f>SUM(Table1[[#This Row],[LC Value]:[Amd Value]])</f>
        <v>47950</v>
      </c>
      <c r="K360" s="36">
        <v>3.65</v>
      </c>
      <c r="L360" s="37">
        <v>14000</v>
      </c>
      <c r="M360" s="33" t="s">
        <v>931</v>
      </c>
      <c r="N360" s="33" t="s">
        <v>1263</v>
      </c>
      <c r="O360" s="38" t="str">
        <f>IFERROR(_xlfn.XLOOKUP(C360, Data!$A$2:$A$236, Data!$C$2:$C$236), "")</f>
        <v>Mr. Sohel Sir</v>
      </c>
    </row>
    <row r="361" spans="1:15" ht="42" customHeight="1" x14ac:dyDescent="0.35">
      <c r="A361" s="41">
        <f t="shared" si="1"/>
        <v>408</v>
      </c>
      <c r="B361" s="30" t="s">
        <v>1790</v>
      </c>
      <c r="C361" s="39" t="s">
        <v>1789</v>
      </c>
      <c r="D361" s="29" t="s">
        <v>29</v>
      </c>
      <c r="E361" s="32" t="s">
        <v>1792</v>
      </c>
      <c r="F361" s="33">
        <v>46118</v>
      </c>
      <c r="G361" s="40">
        <v>46121</v>
      </c>
      <c r="H361" s="35">
        <v>60000</v>
      </c>
      <c r="I361" s="36"/>
      <c r="J361" s="35">
        <f>SUM(Table1[[#This Row],[LC Value]:[Amd Value]])</f>
        <v>60000</v>
      </c>
      <c r="K361" s="36">
        <v>3.55</v>
      </c>
      <c r="L361" s="37">
        <v>19200</v>
      </c>
      <c r="M361" s="33" t="s">
        <v>931</v>
      </c>
      <c r="N361" s="33" t="s">
        <v>1263</v>
      </c>
      <c r="O361" s="38" t="str">
        <f>IFERROR(_xlfn.XLOOKUP(C361, Data!$A$2:$A$236, Data!$C$2:$C$236), "")</f>
        <v>Mr. Shahbuddin</v>
      </c>
    </row>
    <row r="362" spans="1:15" ht="42" customHeight="1" x14ac:dyDescent="0.35">
      <c r="A362" s="41">
        <f t="shared" si="1"/>
        <v>407</v>
      </c>
      <c r="B362" s="30" t="s">
        <v>1787</v>
      </c>
      <c r="C362" s="39" t="s">
        <v>178</v>
      </c>
      <c r="D362" s="29" t="s">
        <v>2691</v>
      </c>
      <c r="E362" s="32" t="s">
        <v>1788</v>
      </c>
      <c r="F362" s="33">
        <v>46118</v>
      </c>
      <c r="G362" s="40">
        <v>46121</v>
      </c>
      <c r="H362" s="35">
        <v>85242.5</v>
      </c>
      <c r="I362" s="36"/>
      <c r="J362" s="35">
        <f>SUM(Table1[[#This Row],[LC Value]:[Amd Value]])</f>
        <v>85242.5</v>
      </c>
      <c r="K362" s="36">
        <v>3.55</v>
      </c>
      <c r="L362" s="37">
        <v>23400</v>
      </c>
      <c r="M362" s="33" t="s">
        <v>1131</v>
      </c>
      <c r="N362" s="33" t="s">
        <v>1332</v>
      </c>
      <c r="O362" s="38" t="str">
        <f>IFERROR(_xlfn.XLOOKUP(C362, Data!$A$2:$A$236, Data!$C$2:$C$236), "")</f>
        <v>Mr. Reza Sir</v>
      </c>
    </row>
    <row r="363" spans="1:15" ht="42" customHeight="1" x14ac:dyDescent="0.35">
      <c r="A363" s="41">
        <f t="shared" si="1"/>
        <v>406</v>
      </c>
      <c r="B363" s="30" t="s">
        <v>1785</v>
      </c>
      <c r="C363" s="39" t="s">
        <v>174</v>
      </c>
      <c r="D363" s="29" t="s">
        <v>2691</v>
      </c>
      <c r="E363" s="32" t="s">
        <v>1786</v>
      </c>
      <c r="F363" s="33">
        <v>46118</v>
      </c>
      <c r="G363" s="40">
        <v>46121</v>
      </c>
      <c r="H363" s="35">
        <v>58575</v>
      </c>
      <c r="I363" s="36"/>
      <c r="J363" s="35">
        <f>SUM(Table1[[#This Row],[LC Value]:[Amd Value]])</f>
        <v>58575</v>
      </c>
      <c r="K363" s="36">
        <v>3.55</v>
      </c>
      <c r="L363" s="37">
        <v>16500</v>
      </c>
      <c r="M363" s="33" t="s">
        <v>1131</v>
      </c>
      <c r="N363" s="33" t="s">
        <v>1332</v>
      </c>
      <c r="O363" s="38" t="str">
        <f>IFERROR(_xlfn.XLOOKUP(C363, Data!$A$2:$A$236, Data!$C$2:$C$236), "")</f>
        <v>Mr. Reza Sir</v>
      </c>
    </row>
    <row r="364" spans="1:15" ht="42" customHeight="1" x14ac:dyDescent="0.35">
      <c r="A364" s="109">
        <f t="shared" si="1"/>
        <v>405</v>
      </c>
      <c r="B364" s="30" t="s">
        <v>1783</v>
      </c>
      <c r="C364" s="39" t="s">
        <v>174</v>
      </c>
      <c r="D364" s="29" t="s">
        <v>2691</v>
      </c>
      <c r="E364" s="32" t="s">
        <v>1784</v>
      </c>
      <c r="F364" s="33">
        <v>46118</v>
      </c>
      <c r="G364" s="40">
        <v>46121</v>
      </c>
      <c r="H364" s="35">
        <v>47925</v>
      </c>
      <c r="I364" s="36"/>
      <c r="J364" s="35">
        <f>SUM(Table1[[#This Row],[LC Value]:[Amd Value]])</f>
        <v>47925</v>
      </c>
      <c r="K364" s="36">
        <v>3.55</v>
      </c>
      <c r="L364" s="37">
        <v>13500</v>
      </c>
      <c r="M364" s="33" t="s">
        <v>1131</v>
      </c>
      <c r="N364" s="33" t="s">
        <v>1332</v>
      </c>
      <c r="O364" s="38" t="str">
        <f>IFERROR(_xlfn.XLOOKUP(C364, Data!$A$2:$A$236, Data!$C$2:$C$236), "")</f>
        <v>Mr. Reza Sir</v>
      </c>
    </row>
    <row r="365" spans="1:15" ht="42" customHeight="1" x14ac:dyDescent="0.35">
      <c r="A365" s="109">
        <f t="shared" si="1"/>
        <v>404</v>
      </c>
      <c r="B365" s="30" t="s">
        <v>1781</v>
      </c>
      <c r="C365" s="39" t="s">
        <v>228</v>
      </c>
      <c r="D365" s="29" t="s">
        <v>229</v>
      </c>
      <c r="E365" s="32" t="s">
        <v>1782</v>
      </c>
      <c r="F365" s="33">
        <v>46118</v>
      </c>
      <c r="G365" s="40">
        <v>46121</v>
      </c>
      <c r="H365" s="35">
        <v>54945</v>
      </c>
      <c r="I365" s="36"/>
      <c r="J365" s="35">
        <f>SUM(Table1[[#This Row],[LC Value]:[Amd Value]])</f>
        <v>54945</v>
      </c>
      <c r="K365" s="36">
        <v>3.05</v>
      </c>
      <c r="L365" s="37">
        <v>14850</v>
      </c>
      <c r="M365" s="33" t="s">
        <v>1131</v>
      </c>
      <c r="N365" s="33" t="s">
        <v>1332</v>
      </c>
      <c r="O365" s="38" t="str">
        <f>IFERROR(_xlfn.XLOOKUP(C365, Data!$A$2:$A$236, Data!$C$2:$C$236), "")</f>
        <v>Mr. Amran Sir</v>
      </c>
    </row>
    <row r="366" spans="1:15" ht="42" customHeight="1" x14ac:dyDescent="0.35">
      <c r="A366" s="109">
        <f t="shared" si="1"/>
        <v>403</v>
      </c>
      <c r="B366" s="30" t="s">
        <v>1779</v>
      </c>
      <c r="C366" s="39" t="s">
        <v>228</v>
      </c>
      <c r="D366" s="29" t="s">
        <v>229</v>
      </c>
      <c r="E366" s="32" t="s">
        <v>1780</v>
      </c>
      <c r="F366" s="33">
        <v>46118</v>
      </c>
      <c r="G366" s="40">
        <v>46121</v>
      </c>
      <c r="H366" s="35">
        <v>46750</v>
      </c>
      <c r="I366" s="36"/>
      <c r="J366" s="35">
        <f>SUM(Table1[[#This Row],[LC Value]:[Amd Value]])</f>
        <v>46750</v>
      </c>
      <c r="K366" s="36">
        <v>3.05</v>
      </c>
      <c r="L366" s="37">
        <v>15000</v>
      </c>
      <c r="M366" s="33" t="s">
        <v>1457</v>
      </c>
      <c r="N366" s="33" t="s">
        <v>1398</v>
      </c>
      <c r="O366" s="38" t="str">
        <f>IFERROR(_xlfn.XLOOKUP(C366, Data!$A$2:$A$236, Data!$C$2:$C$236), "")</f>
        <v>Mr. Amran Sir</v>
      </c>
    </row>
    <row r="367" spans="1:15" ht="42" customHeight="1" x14ac:dyDescent="0.35">
      <c r="A367" s="109">
        <f t="shared" si="1"/>
        <v>402</v>
      </c>
      <c r="B367" s="30" t="s">
        <v>1777</v>
      </c>
      <c r="C367" s="39" t="s">
        <v>228</v>
      </c>
      <c r="D367" s="29" t="s">
        <v>229</v>
      </c>
      <c r="E367" s="32" t="s">
        <v>1778</v>
      </c>
      <c r="F367" s="33">
        <v>46118</v>
      </c>
      <c r="G367" s="40">
        <v>46121</v>
      </c>
      <c r="H367" s="35">
        <v>52800</v>
      </c>
      <c r="I367" s="36"/>
      <c r="J367" s="35">
        <f>SUM(Table1[[#This Row],[LC Value]:[Amd Value]])</f>
        <v>52800</v>
      </c>
      <c r="K367" s="36">
        <v>3.05</v>
      </c>
      <c r="L367" s="37">
        <v>17000</v>
      </c>
      <c r="M367" s="33" t="s">
        <v>1457</v>
      </c>
      <c r="N367" s="33" t="s">
        <v>1398</v>
      </c>
      <c r="O367" s="38" t="str">
        <f>IFERROR(_xlfn.XLOOKUP(C367, Data!$A$2:$A$236, Data!$C$2:$C$236), "")</f>
        <v>Mr. Amran Sir</v>
      </c>
    </row>
    <row r="368" spans="1:15" ht="42" customHeight="1" x14ac:dyDescent="0.35">
      <c r="A368" s="109">
        <f t="shared" si="1"/>
        <v>401</v>
      </c>
      <c r="B368" s="30" t="s">
        <v>1775</v>
      </c>
      <c r="C368" s="39" t="s">
        <v>228</v>
      </c>
      <c r="D368" s="29" t="s">
        <v>229</v>
      </c>
      <c r="E368" s="32" t="s">
        <v>1776</v>
      </c>
      <c r="F368" s="33">
        <v>46118</v>
      </c>
      <c r="G368" s="40">
        <v>46119</v>
      </c>
      <c r="H368" s="35">
        <v>31350</v>
      </c>
      <c r="I368" s="36"/>
      <c r="J368" s="35">
        <f>SUM(Table1[[#This Row],[LC Value]:[Amd Value]])</f>
        <v>31350</v>
      </c>
      <c r="K368" s="36">
        <v>3.05</v>
      </c>
      <c r="L368" s="37">
        <v>10000</v>
      </c>
      <c r="M368" s="33" t="s">
        <v>1172</v>
      </c>
      <c r="N368" s="33" t="s">
        <v>1485</v>
      </c>
      <c r="O368" s="38" t="str">
        <f>IFERROR(_xlfn.XLOOKUP(C368, Data!$A$2:$A$236, Data!$C$2:$C$236), "")</f>
        <v>Mr. Amran Sir</v>
      </c>
    </row>
    <row r="369" spans="1:15" ht="42" customHeight="1" x14ac:dyDescent="0.35">
      <c r="A369" s="109">
        <f t="shared" si="1"/>
        <v>400</v>
      </c>
      <c r="B369" s="30" t="s">
        <v>1773</v>
      </c>
      <c r="C369" s="39" t="s">
        <v>1772</v>
      </c>
      <c r="D369" s="29" t="s">
        <v>72</v>
      </c>
      <c r="E369" s="32" t="s">
        <v>1774</v>
      </c>
      <c r="F369" s="33">
        <v>46118</v>
      </c>
      <c r="G369" s="40">
        <v>46124</v>
      </c>
      <c r="H369" s="35">
        <f>56527.5+23565</f>
        <v>80092.5</v>
      </c>
      <c r="I369" s="36"/>
      <c r="J369" s="35">
        <f>SUM(Table1[[#This Row],[LC Value]:[Amd Value]])</f>
        <v>80092.5</v>
      </c>
      <c r="K369" s="36">
        <v>3.05</v>
      </c>
      <c r="L369" s="37">
        <f>17950+7350</f>
        <v>25300</v>
      </c>
      <c r="M369" s="33" t="s">
        <v>868</v>
      </c>
      <c r="N369" s="33" t="s">
        <v>1560</v>
      </c>
      <c r="O369" s="38" t="str">
        <f>IFERROR(_xlfn.XLOOKUP(C369, Data!$A$2:$A$236, Data!$C$2:$C$236), "")</f>
        <v>Mr. Lipu Sir</v>
      </c>
    </row>
    <row r="370" spans="1:15" ht="42" customHeight="1" x14ac:dyDescent="0.35">
      <c r="A370" s="109">
        <f t="shared" si="1"/>
        <v>399</v>
      </c>
      <c r="B370" s="30" t="s">
        <v>1770</v>
      </c>
      <c r="C370" s="39" t="s">
        <v>1562</v>
      </c>
      <c r="D370" s="29" t="s">
        <v>81</v>
      </c>
      <c r="E370" s="32" t="s">
        <v>1771</v>
      </c>
      <c r="F370" s="33">
        <v>46118</v>
      </c>
      <c r="G370" s="40">
        <v>46121</v>
      </c>
      <c r="H370" s="35">
        <v>157850</v>
      </c>
      <c r="I370" s="36"/>
      <c r="J370" s="35">
        <f>SUM(Table1[[#This Row],[LC Value]:[Amd Value]])</f>
        <v>157850</v>
      </c>
      <c r="K370" s="36">
        <v>3.85</v>
      </c>
      <c r="L370" s="37">
        <v>41000</v>
      </c>
      <c r="M370" s="33" t="s">
        <v>868</v>
      </c>
      <c r="N370" s="33" t="s">
        <v>1560</v>
      </c>
      <c r="O370" s="38" t="str">
        <f>IFERROR(_xlfn.XLOOKUP(C370, Data!$A$2:$A$236, Data!$C$2:$C$236), "")</f>
        <v>Director Sir</v>
      </c>
    </row>
    <row r="371" spans="1:15" ht="42" customHeight="1" x14ac:dyDescent="0.35">
      <c r="A371" s="109">
        <f t="shared" si="1"/>
        <v>398</v>
      </c>
      <c r="B371" s="30" t="s">
        <v>1768</v>
      </c>
      <c r="C371" s="39" t="s">
        <v>1189</v>
      </c>
      <c r="D371" s="29" t="s">
        <v>39</v>
      </c>
      <c r="E371" s="32" t="s">
        <v>1769</v>
      </c>
      <c r="F371" s="33">
        <v>46118</v>
      </c>
      <c r="G371" s="40">
        <v>46121</v>
      </c>
      <c r="H371" s="35">
        <f>96255+83545+20305+35990</f>
        <v>236095</v>
      </c>
      <c r="I371" s="36"/>
      <c r="J371" s="35">
        <f>SUM(Table1[[#This Row],[LC Value]:[Amd Value]])</f>
        <v>236095</v>
      </c>
      <c r="K371" s="36">
        <v>3.1</v>
      </c>
      <c r="L371" s="37">
        <f>31050+26950+6550+11800</f>
        <v>76350</v>
      </c>
      <c r="M371" s="33" t="s">
        <v>1010</v>
      </c>
      <c r="N371" s="33" t="s">
        <v>1172</v>
      </c>
      <c r="O371" s="38" t="str">
        <f>IFERROR(_xlfn.XLOOKUP(C371, Data!$A$2:$A$236, Data!$C$2:$C$236), "")</f>
        <v>Mr. Reza Sir</v>
      </c>
    </row>
    <row r="372" spans="1:15" ht="42" customHeight="1" x14ac:dyDescent="0.35">
      <c r="A372" s="109">
        <f t="shared" si="1"/>
        <v>397</v>
      </c>
      <c r="B372" s="30" t="s">
        <v>1766</v>
      </c>
      <c r="C372" s="39" t="s">
        <v>199</v>
      </c>
      <c r="D372" s="29" t="s">
        <v>32</v>
      </c>
      <c r="E372" s="32" t="s">
        <v>1767</v>
      </c>
      <c r="F372" s="33" t="s">
        <v>618</v>
      </c>
      <c r="G372" s="40">
        <v>46121</v>
      </c>
      <c r="H372" s="35">
        <v>25665</v>
      </c>
      <c r="I372" s="36"/>
      <c r="J372" s="35">
        <f>SUM(Table1[[#This Row],[LC Value]:[Amd Value]])</f>
        <v>25665</v>
      </c>
      <c r="K372" s="36">
        <v>3.7</v>
      </c>
      <c r="L372" s="37">
        <v>8850</v>
      </c>
      <c r="M372" s="33" t="s">
        <v>1010</v>
      </c>
      <c r="N372" s="33" t="s">
        <v>1172</v>
      </c>
      <c r="O372" s="38" t="str">
        <f>IFERROR(_xlfn.XLOOKUP(C372, Data!$A$2:$A$236, Data!$C$2:$C$236), "")</f>
        <v>MD. Sir</v>
      </c>
    </row>
    <row r="373" spans="1:15" ht="42" customHeight="1" x14ac:dyDescent="0.35">
      <c r="A373" s="109">
        <f t="shared" si="1"/>
        <v>396</v>
      </c>
      <c r="B373" s="30" t="s">
        <v>1764</v>
      </c>
      <c r="C373" s="39" t="s">
        <v>174</v>
      </c>
      <c r="D373" s="29" t="s">
        <v>2691</v>
      </c>
      <c r="E373" s="32" t="s">
        <v>1765</v>
      </c>
      <c r="F373" s="33" t="s">
        <v>618</v>
      </c>
      <c r="G373" s="40">
        <v>46120</v>
      </c>
      <c r="H373" s="35">
        <v>35000</v>
      </c>
      <c r="I373" s="36"/>
      <c r="J373" s="35">
        <f>SUM(Table1[[#This Row],[LC Value]:[Amd Value]])</f>
        <v>35000</v>
      </c>
      <c r="K373" s="36">
        <v>3.7</v>
      </c>
      <c r="L373" s="37">
        <v>10000</v>
      </c>
      <c r="M373" s="33" t="s">
        <v>1010</v>
      </c>
      <c r="N373" s="33" t="s">
        <v>1172</v>
      </c>
      <c r="O373" s="38" t="str">
        <f>IFERROR(_xlfn.XLOOKUP(C373, Data!$A$2:$A$236, Data!$C$2:$C$236), "")</f>
        <v>Mr. Reza Sir</v>
      </c>
    </row>
    <row r="374" spans="1:15" ht="42" customHeight="1" x14ac:dyDescent="0.35">
      <c r="A374" s="41">
        <f t="shared" si="1"/>
        <v>395</v>
      </c>
      <c r="B374" s="30" t="s">
        <v>1762</v>
      </c>
      <c r="C374" s="39" t="s">
        <v>174</v>
      </c>
      <c r="D374" s="29" t="s">
        <v>2691</v>
      </c>
      <c r="E374" s="32" t="s">
        <v>1763</v>
      </c>
      <c r="F374" s="33" t="s">
        <v>618</v>
      </c>
      <c r="G374" s="40">
        <v>46120</v>
      </c>
      <c r="H374" s="35">
        <v>45000</v>
      </c>
      <c r="I374" s="36"/>
      <c r="J374" s="35">
        <f>SUM(Table1[[#This Row],[LC Value]:[Amd Value]])</f>
        <v>45000</v>
      </c>
      <c r="K374" s="36">
        <v>3.7</v>
      </c>
      <c r="L374" s="37">
        <v>12000</v>
      </c>
      <c r="M374" s="33" t="s">
        <v>1010</v>
      </c>
      <c r="N374" s="33" t="s">
        <v>1172</v>
      </c>
      <c r="O374" s="38" t="str">
        <f>IFERROR(_xlfn.XLOOKUP(C374, Data!$A$2:$A$236, Data!$C$2:$C$236), "")</f>
        <v>Mr. Reza Sir</v>
      </c>
    </row>
    <row r="375" spans="1:15" ht="42" customHeight="1" x14ac:dyDescent="0.35">
      <c r="A375" s="109">
        <f t="shared" si="1"/>
        <v>394</v>
      </c>
      <c r="B375" s="30" t="s">
        <v>1760</v>
      </c>
      <c r="C375" s="39" t="s">
        <v>174</v>
      </c>
      <c r="D375" s="29" t="s">
        <v>2691</v>
      </c>
      <c r="E375" s="32" t="s">
        <v>1761</v>
      </c>
      <c r="F375" s="33" t="s">
        <v>618</v>
      </c>
      <c r="G375" s="40">
        <v>46120</v>
      </c>
      <c r="H375" s="35">
        <v>67500</v>
      </c>
      <c r="I375" s="36"/>
      <c r="J375" s="35">
        <f>SUM(Table1[[#This Row],[LC Value]:[Amd Value]])</f>
        <v>67500</v>
      </c>
      <c r="K375" s="36">
        <v>3.7</v>
      </c>
      <c r="L375" s="37">
        <v>18000</v>
      </c>
      <c r="M375" s="33" t="s">
        <v>1010</v>
      </c>
      <c r="N375" s="33" t="s">
        <v>1172</v>
      </c>
      <c r="O375" s="38" t="str">
        <f>IFERROR(_xlfn.XLOOKUP(C375, Data!$A$2:$A$236, Data!$C$2:$C$236), "")</f>
        <v>Mr. Reza Sir</v>
      </c>
    </row>
    <row r="376" spans="1:15" ht="42" customHeight="1" x14ac:dyDescent="0.35">
      <c r="A376" s="109">
        <f t="shared" si="1"/>
        <v>393</v>
      </c>
      <c r="B376" s="30" t="s">
        <v>1758</v>
      </c>
      <c r="C376" s="39" t="s">
        <v>174</v>
      </c>
      <c r="D376" s="29" t="s">
        <v>2691</v>
      </c>
      <c r="E376" s="32" t="s">
        <v>1759</v>
      </c>
      <c r="F376" s="33" t="s">
        <v>618</v>
      </c>
      <c r="G376" s="40">
        <v>46120</v>
      </c>
      <c r="H376" s="35">
        <v>39350</v>
      </c>
      <c r="I376" s="36"/>
      <c r="J376" s="35">
        <f>SUM(Table1[[#This Row],[LC Value]:[Amd Value]])</f>
        <v>39350</v>
      </c>
      <c r="K376" s="36">
        <v>3.7</v>
      </c>
      <c r="L376" s="37">
        <v>11000</v>
      </c>
      <c r="M376" s="33" t="s">
        <v>1010</v>
      </c>
      <c r="N376" s="33" t="s">
        <v>1172</v>
      </c>
      <c r="O376" s="38" t="str">
        <f>IFERROR(_xlfn.XLOOKUP(C376, Data!$A$2:$A$236, Data!$C$2:$C$236), "")</f>
        <v>Mr. Reza Sir</v>
      </c>
    </row>
    <row r="377" spans="1:15" ht="42" customHeight="1" x14ac:dyDescent="0.35">
      <c r="A377" s="109">
        <f t="shared" si="1"/>
        <v>392</v>
      </c>
      <c r="B377" s="30" t="s">
        <v>1756</v>
      </c>
      <c r="C377" s="39" t="s">
        <v>174</v>
      </c>
      <c r="D377" s="29" t="s">
        <v>2691</v>
      </c>
      <c r="E377" s="32" t="s">
        <v>1757</v>
      </c>
      <c r="F377" s="33" t="s">
        <v>618</v>
      </c>
      <c r="G377" s="40">
        <v>46120</v>
      </c>
      <c r="H377" s="35">
        <v>48677.5</v>
      </c>
      <c r="I377" s="36"/>
      <c r="J377" s="35">
        <f>SUM(Table1[[#This Row],[LC Value]:[Amd Value]])</f>
        <v>48677.5</v>
      </c>
      <c r="K377" s="36">
        <v>3.7</v>
      </c>
      <c r="L377" s="37">
        <v>13150</v>
      </c>
      <c r="M377" s="33" t="s">
        <v>1010</v>
      </c>
      <c r="N377" s="33" t="s">
        <v>1172</v>
      </c>
      <c r="O377" s="38" t="str">
        <f>IFERROR(_xlfn.XLOOKUP(C377, Data!$A$2:$A$236, Data!$C$2:$C$236), "")</f>
        <v>Mr. Reza Sir</v>
      </c>
    </row>
    <row r="378" spans="1:15" ht="42" customHeight="1" x14ac:dyDescent="0.35">
      <c r="A378" s="109">
        <f t="shared" si="1"/>
        <v>391</v>
      </c>
      <c r="B378" s="30" t="s">
        <v>1750</v>
      </c>
      <c r="C378" s="31" t="s">
        <v>238</v>
      </c>
      <c r="D378" s="29" t="s">
        <v>194</v>
      </c>
      <c r="E378" s="133" t="s">
        <v>1751</v>
      </c>
      <c r="F378" s="33" t="s">
        <v>618</v>
      </c>
      <c r="G378" s="34">
        <v>46118</v>
      </c>
      <c r="H378" s="35">
        <v>24317.5</v>
      </c>
      <c r="I378" s="36"/>
      <c r="J378" s="35">
        <f>SUM(Table1[[#This Row],[LC Value]:[Amd Value]])</f>
        <v>24317.5</v>
      </c>
      <c r="K378" s="36">
        <v>4.95</v>
      </c>
      <c r="L378" s="37">
        <v>9500</v>
      </c>
      <c r="M378" s="33" t="s">
        <v>1571</v>
      </c>
      <c r="N378" s="33" t="s">
        <v>1745</v>
      </c>
      <c r="O378" s="38" t="str">
        <f>IFERROR(_xlfn.XLOOKUP(C378, Data!$A$2:$A$236, Data!$C$2:$C$236), "")</f>
        <v>Mr. Reza Sir</v>
      </c>
    </row>
    <row r="379" spans="1:15" ht="42" customHeight="1" x14ac:dyDescent="0.35">
      <c r="A379" s="109">
        <f t="shared" si="1"/>
        <v>390</v>
      </c>
      <c r="B379" s="30" t="s">
        <v>1746</v>
      </c>
      <c r="C379" s="39" t="s">
        <v>200</v>
      </c>
      <c r="D379" s="29" t="s">
        <v>32</v>
      </c>
      <c r="E379" s="32" t="s">
        <v>1747</v>
      </c>
      <c r="F379" s="33" t="s">
        <v>618</v>
      </c>
      <c r="G379" s="40">
        <v>46120</v>
      </c>
      <c r="H379" s="35">
        <v>47025</v>
      </c>
      <c r="I379" s="36"/>
      <c r="J379" s="35">
        <f>SUM(Table1[[#This Row],[LC Value]:[Amd Value]])</f>
        <v>47025</v>
      </c>
      <c r="K379" s="36">
        <v>4.95</v>
      </c>
      <c r="L379" s="37">
        <v>9500</v>
      </c>
      <c r="M379" s="33" t="s">
        <v>1571</v>
      </c>
      <c r="N379" s="33" t="s">
        <v>1745</v>
      </c>
      <c r="O379" s="38" t="str">
        <f>IFERROR(_xlfn.XLOOKUP(C379, Data!$A$2:$A$236, Data!$C$2:$C$236), "")</f>
        <v>MD. Sir</v>
      </c>
    </row>
    <row r="380" spans="1:15" ht="42" customHeight="1" x14ac:dyDescent="0.35">
      <c r="A380" s="109">
        <f t="shared" si="1"/>
        <v>389</v>
      </c>
      <c r="B380" s="30" t="s">
        <v>1743</v>
      </c>
      <c r="C380" s="39" t="s">
        <v>199</v>
      </c>
      <c r="D380" s="29" t="s">
        <v>98</v>
      </c>
      <c r="E380" s="32" t="s">
        <v>1744</v>
      </c>
      <c r="F380" s="33" t="s">
        <v>618</v>
      </c>
      <c r="G380" s="40">
        <v>46120</v>
      </c>
      <c r="H380" s="35">
        <v>11110</v>
      </c>
      <c r="I380" s="36"/>
      <c r="J380" s="35">
        <f>SUM(Table1[[#This Row],[LC Value]:[Amd Value]])</f>
        <v>11110</v>
      </c>
      <c r="K380" s="36">
        <v>3.35</v>
      </c>
      <c r="L380" s="37">
        <v>3300</v>
      </c>
      <c r="M380" s="33" t="s">
        <v>1571</v>
      </c>
      <c r="N380" s="33" t="s">
        <v>1745</v>
      </c>
      <c r="O380" s="38" t="str">
        <f>IFERROR(_xlfn.XLOOKUP(C380, Data!$A$2:$A$236, Data!$C$2:$C$236), "")</f>
        <v>MD. Sir</v>
      </c>
    </row>
    <row r="381" spans="1:15" ht="42" customHeight="1" x14ac:dyDescent="0.35">
      <c r="A381" s="109">
        <f t="shared" si="1"/>
        <v>388</v>
      </c>
      <c r="B381" s="30" t="s">
        <v>1740</v>
      </c>
      <c r="C381" s="39" t="s">
        <v>1189</v>
      </c>
      <c r="D381" s="29" t="s">
        <v>189</v>
      </c>
      <c r="E381" s="32" t="s">
        <v>1741</v>
      </c>
      <c r="F381" s="33" t="s">
        <v>618</v>
      </c>
      <c r="G381" s="40">
        <v>46120</v>
      </c>
      <c r="H381" s="35">
        <v>64015</v>
      </c>
      <c r="I381" s="36"/>
      <c r="J381" s="35">
        <f>SUM(Table1[[#This Row],[LC Value]:[Amd Value]])</f>
        <v>64015</v>
      </c>
      <c r="K381" s="36">
        <v>3.1</v>
      </c>
      <c r="L381" s="37">
        <v>20650</v>
      </c>
      <c r="M381" s="33" t="s">
        <v>1742</v>
      </c>
      <c r="N381" s="33" t="s">
        <v>1485</v>
      </c>
      <c r="O381" s="38" t="str">
        <f>IFERROR(_xlfn.XLOOKUP(C381, Data!$A$2:$A$236, Data!$C$2:$C$236), "")</f>
        <v>Mr. Reza Sir</v>
      </c>
    </row>
    <row r="382" spans="1:15" ht="42" customHeight="1" x14ac:dyDescent="0.35">
      <c r="A382" s="109">
        <f t="shared" si="1"/>
        <v>387</v>
      </c>
      <c r="B382" s="30" t="s">
        <v>1738</v>
      </c>
      <c r="C382" s="39" t="s">
        <v>78</v>
      </c>
      <c r="D382" s="29" t="s">
        <v>98</v>
      </c>
      <c r="E382" s="32" t="s">
        <v>1739</v>
      </c>
      <c r="F382" s="33" t="s">
        <v>618</v>
      </c>
      <c r="G382" s="40">
        <v>46120</v>
      </c>
      <c r="H382" s="35">
        <v>93190</v>
      </c>
      <c r="I382" s="36"/>
      <c r="J382" s="35">
        <f>SUM(Table1[[#This Row],[LC Value]:[Amd Value]])</f>
        <v>93190</v>
      </c>
      <c r="K382" s="36">
        <v>3.6</v>
      </c>
      <c r="L382" s="37">
        <v>25300</v>
      </c>
      <c r="M382" s="33" t="s">
        <v>1010</v>
      </c>
      <c r="N382" s="33" t="s">
        <v>1172</v>
      </c>
      <c r="O382" s="38" t="str">
        <f>IFERROR(_xlfn.XLOOKUP(C382, Data!$A$2:$A$236, Data!$C$2:$C$236), "")</f>
        <v>Mr. Reza Sir</v>
      </c>
    </row>
    <row r="383" spans="1:15" ht="42" customHeight="1" x14ac:dyDescent="0.35">
      <c r="A383" s="109">
        <f t="shared" si="1"/>
        <v>386</v>
      </c>
      <c r="B383" s="30" t="s">
        <v>1736</v>
      </c>
      <c r="C383" s="39" t="s">
        <v>97</v>
      </c>
      <c r="D383" s="29" t="s">
        <v>280</v>
      </c>
      <c r="E383" s="32" t="s">
        <v>1737</v>
      </c>
      <c r="F383" s="33" t="s">
        <v>618</v>
      </c>
      <c r="G383" s="40">
        <v>46120</v>
      </c>
      <c r="H383" s="35">
        <v>73710</v>
      </c>
      <c r="I383" s="36"/>
      <c r="J383" s="35">
        <f>SUM(Table1[[#This Row],[LC Value]:[Amd Value]])</f>
        <v>73710</v>
      </c>
      <c r="K383" s="36">
        <v>3.1</v>
      </c>
      <c r="L383" s="37">
        <v>23050</v>
      </c>
      <c r="M383" s="33" t="s">
        <v>936</v>
      </c>
      <c r="N383" s="33" t="s">
        <v>1485</v>
      </c>
      <c r="O383" s="38" t="str">
        <f>IFERROR(_xlfn.XLOOKUP(C383, Data!$A$2:$A$236, Data!$C$2:$C$236), "")</f>
        <v>Mr. Reza Sir</v>
      </c>
    </row>
    <row r="384" spans="1:15" ht="42" customHeight="1" x14ac:dyDescent="0.35">
      <c r="A384" s="109">
        <f t="shared" si="1"/>
        <v>385</v>
      </c>
      <c r="B384" s="30" t="s">
        <v>1733</v>
      </c>
      <c r="C384" s="39" t="s">
        <v>245</v>
      </c>
      <c r="D384" s="29" t="s">
        <v>79</v>
      </c>
      <c r="E384" s="32" t="s">
        <v>1734</v>
      </c>
      <c r="F384" s="33" t="s">
        <v>618</v>
      </c>
      <c r="G384" s="40">
        <v>46120</v>
      </c>
      <c r="H384" s="35">
        <v>12187.5</v>
      </c>
      <c r="I384" s="36"/>
      <c r="J384" s="35">
        <f>SUM(Table1[[#This Row],[LC Value]:[Amd Value]])</f>
        <v>12187.5</v>
      </c>
      <c r="K384" s="36">
        <v>3.35</v>
      </c>
      <c r="L384" s="37">
        <v>3450</v>
      </c>
      <c r="M384" s="33" t="s">
        <v>1566</v>
      </c>
      <c r="N384" s="33" t="s">
        <v>1735</v>
      </c>
      <c r="O384" s="38" t="str">
        <f>IFERROR(_xlfn.XLOOKUP(C384, Data!$A$2:$A$236, Data!$C$2:$C$236), "")</f>
        <v>Mr. Reza Sir</v>
      </c>
    </row>
    <row r="385" spans="1:15" ht="42" customHeight="1" x14ac:dyDescent="0.35">
      <c r="A385" s="109">
        <f t="shared" si="1"/>
        <v>384</v>
      </c>
      <c r="B385" s="30" t="s">
        <v>1730</v>
      </c>
      <c r="C385" s="39" t="s">
        <v>200</v>
      </c>
      <c r="D385" s="29" t="s">
        <v>79</v>
      </c>
      <c r="E385" s="32" t="s">
        <v>1731</v>
      </c>
      <c r="F385" s="33" t="s">
        <v>618</v>
      </c>
      <c r="G385" s="40">
        <v>46120</v>
      </c>
      <c r="H385" s="35">
        <v>67375</v>
      </c>
      <c r="I385" s="36"/>
      <c r="J385" s="35">
        <f>SUM(Table1[[#This Row],[LC Value]:[Amd Value]])</f>
        <v>67375</v>
      </c>
      <c r="K385" s="36">
        <v>4.95</v>
      </c>
      <c r="L385" s="37">
        <v>13750</v>
      </c>
      <c r="M385" s="33" t="s">
        <v>1255</v>
      </c>
      <c r="N385" s="33" t="s">
        <v>1732</v>
      </c>
      <c r="O385" s="38" t="str">
        <f>IFERROR(_xlfn.XLOOKUP(C385, Data!$A$2:$A$236, Data!$C$2:$C$236), "")</f>
        <v>MD. Sir</v>
      </c>
    </row>
    <row r="386" spans="1:15" ht="42" customHeight="1" x14ac:dyDescent="0.35">
      <c r="A386" s="109">
        <f t="shared" si="1"/>
        <v>383</v>
      </c>
      <c r="B386" s="30" t="s">
        <v>1724</v>
      </c>
      <c r="C386" s="39" t="s">
        <v>199</v>
      </c>
      <c r="D386" s="29" t="s">
        <v>353</v>
      </c>
      <c r="E386" s="32" t="s">
        <v>1725</v>
      </c>
      <c r="F386" s="33" t="s">
        <v>1196</v>
      </c>
      <c r="G386" s="40">
        <v>46119</v>
      </c>
      <c r="H386" s="35">
        <v>13860</v>
      </c>
      <c r="I386" s="36"/>
      <c r="J386" s="35">
        <f>SUM(Table1[[#This Row],[LC Value]:[Amd Value]])</f>
        <v>13860</v>
      </c>
      <c r="K386" s="36">
        <v>4.95</v>
      </c>
      <c r="L386" s="37">
        <v>2800</v>
      </c>
      <c r="M386" s="33" t="s">
        <v>1727</v>
      </c>
      <c r="N386" s="33" t="s">
        <v>1726</v>
      </c>
      <c r="O386" s="38" t="str">
        <f>IFERROR(_xlfn.XLOOKUP(C386, Data!$A$2:$A$236, Data!$C$2:$C$236), "")</f>
        <v>MD. Sir</v>
      </c>
    </row>
    <row r="387" spans="1:15" ht="42" customHeight="1" x14ac:dyDescent="0.35">
      <c r="A387" s="41">
        <f t="shared" si="1"/>
        <v>382</v>
      </c>
      <c r="B387" s="30" t="s">
        <v>1722</v>
      </c>
      <c r="C387" s="39" t="s">
        <v>199</v>
      </c>
      <c r="D387" s="29" t="s">
        <v>98</v>
      </c>
      <c r="E387" s="32" t="s">
        <v>1723</v>
      </c>
      <c r="F387" s="33" t="s">
        <v>1196</v>
      </c>
      <c r="G387" s="40">
        <v>46119</v>
      </c>
      <c r="H387" s="35">
        <v>53705</v>
      </c>
      <c r="I387" s="36"/>
      <c r="J387" s="35">
        <f>SUM(Table1[[#This Row],[LC Value]:[Amd Value]])</f>
        <v>53705</v>
      </c>
      <c r="K387" s="36">
        <v>2.2999999999999998</v>
      </c>
      <c r="L387" s="37">
        <v>23350</v>
      </c>
      <c r="M387" s="33" t="s">
        <v>1719</v>
      </c>
      <c r="N387" s="33" t="s">
        <v>1718</v>
      </c>
      <c r="O387" s="38" t="str">
        <f>IFERROR(_xlfn.XLOOKUP(C387, Data!$A$2:$A$236, Data!$C$2:$C$236), "")</f>
        <v>MD. Sir</v>
      </c>
    </row>
    <row r="388" spans="1:15" ht="42" customHeight="1" x14ac:dyDescent="0.35">
      <c r="A388" s="41">
        <f t="shared" si="1"/>
        <v>381</v>
      </c>
      <c r="B388" s="30" t="s">
        <v>1720</v>
      </c>
      <c r="C388" s="39" t="s">
        <v>200</v>
      </c>
      <c r="D388" s="29" t="s">
        <v>98</v>
      </c>
      <c r="E388" s="32" t="s">
        <v>1721</v>
      </c>
      <c r="F388" s="33" t="s">
        <v>1196</v>
      </c>
      <c r="G388" s="40">
        <v>46119</v>
      </c>
      <c r="H388" s="35">
        <v>13625</v>
      </c>
      <c r="I388" s="36"/>
      <c r="J388" s="35">
        <f>SUM(Table1[[#This Row],[LC Value]:[Amd Value]])</f>
        <v>13625</v>
      </c>
      <c r="K388" s="36">
        <v>2.5</v>
      </c>
      <c r="L388" s="37">
        <v>5450</v>
      </c>
      <c r="M388" s="33" t="s">
        <v>1719</v>
      </c>
      <c r="N388" s="33" t="s">
        <v>1718</v>
      </c>
      <c r="O388" s="38" t="str">
        <f>IFERROR(_xlfn.XLOOKUP(C388, Data!$A$2:$A$236, Data!$C$2:$C$236), "")</f>
        <v>MD. Sir</v>
      </c>
    </row>
    <row r="389" spans="1:15" ht="42" customHeight="1" x14ac:dyDescent="0.35">
      <c r="A389" s="41">
        <f t="shared" si="1"/>
        <v>380</v>
      </c>
      <c r="B389" s="30" t="s">
        <v>1716</v>
      </c>
      <c r="C389" s="39" t="s">
        <v>199</v>
      </c>
      <c r="D389" s="29" t="s">
        <v>98</v>
      </c>
      <c r="E389" s="32" t="s">
        <v>1717</v>
      </c>
      <c r="F389" s="33" t="s">
        <v>1196</v>
      </c>
      <c r="G389" s="40">
        <v>46119</v>
      </c>
      <c r="H389" s="35">
        <v>26917.5</v>
      </c>
      <c r="I389" s="36"/>
      <c r="J389" s="35">
        <f>SUM(Table1[[#This Row],[LC Value]:[Amd Value]])</f>
        <v>26917.5</v>
      </c>
      <c r="K389" s="36">
        <v>2.85</v>
      </c>
      <c r="L389" s="37">
        <v>9250</v>
      </c>
      <c r="M389" s="33" t="s">
        <v>1719</v>
      </c>
      <c r="N389" s="33" t="s">
        <v>1718</v>
      </c>
      <c r="O389" s="38" t="str">
        <f>IFERROR(_xlfn.XLOOKUP(C389, Data!$A$2:$A$236, Data!$C$2:$C$236), "")</f>
        <v>MD. Sir</v>
      </c>
    </row>
    <row r="390" spans="1:15" ht="42" customHeight="1" x14ac:dyDescent="0.35">
      <c r="A390" s="41">
        <f t="shared" si="1"/>
        <v>379</v>
      </c>
      <c r="B390" s="30" t="s">
        <v>1711</v>
      </c>
      <c r="C390" s="39" t="s">
        <v>180</v>
      </c>
      <c r="D390" s="29" t="s">
        <v>181</v>
      </c>
      <c r="E390" s="32" t="s">
        <v>1712</v>
      </c>
      <c r="F390" s="33" t="s">
        <v>823</v>
      </c>
      <c r="G390" s="40">
        <v>46119</v>
      </c>
      <c r="H390" s="35">
        <v>20867.5</v>
      </c>
      <c r="I390" s="36"/>
      <c r="J390" s="35">
        <f>SUM(Table1[[#This Row],[LC Value]:[Amd Value]])</f>
        <v>20867.5</v>
      </c>
      <c r="K390" s="36">
        <v>3.3</v>
      </c>
      <c r="L390" s="37">
        <v>6325</v>
      </c>
      <c r="M390" s="33" t="s">
        <v>1172</v>
      </c>
      <c r="N390" s="33" t="s">
        <v>1485</v>
      </c>
      <c r="O390" s="38" t="str">
        <f>IFERROR(_xlfn.XLOOKUP(C390, Data!$A$2:$A$236, Data!$C$2:$C$236), "")</f>
        <v>Mr. Lipu Sir</v>
      </c>
    </row>
    <row r="391" spans="1:15" ht="42" customHeight="1" x14ac:dyDescent="0.35">
      <c r="A391" s="41">
        <f t="shared" si="1"/>
        <v>378</v>
      </c>
      <c r="B391" s="30" t="s">
        <v>1709</v>
      </c>
      <c r="C391" s="39" t="s">
        <v>57</v>
      </c>
      <c r="D391" s="29" t="s">
        <v>98</v>
      </c>
      <c r="E391" s="32" t="s">
        <v>1710</v>
      </c>
      <c r="F391" s="33">
        <v>46114</v>
      </c>
      <c r="G391" s="40">
        <v>46119</v>
      </c>
      <c r="H391" s="35">
        <v>78247</v>
      </c>
      <c r="I391" s="36">
        <v>-6394.5</v>
      </c>
      <c r="J391" s="35">
        <f>SUM(Table1[[#This Row],[LC Value]:[Amd Value]])</f>
        <v>71852.5</v>
      </c>
      <c r="K391" s="36">
        <v>3.27</v>
      </c>
      <c r="L391" s="37">
        <v>23600</v>
      </c>
      <c r="M391" s="33" t="s">
        <v>1172</v>
      </c>
      <c r="N391" s="33" t="s">
        <v>1485</v>
      </c>
      <c r="O391" s="38" t="str">
        <f>IFERROR(_xlfn.XLOOKUP(C391, Data!$A$2:$A$236, Data!$C$2:$C$236), "")</f>
        <v>Mr. Reza Sir</v>
      </c>
    </row>
    <row r="392" spans="1:15" ht="42" customHeight="1" x14ac:dyDescent="0.35">
      <c r="A392" s="41">
        <f t="shared" si="1"/>
        <v>377</v>
      </c>
      <c r="B392" s="30" t="s">
        <v>1707</v>
      </c>
      <c r="C392" s="39" t="s">
        <v>1639</v>
      </c>
      <c r="D392" s="29" t="s">
        <v>115</v>
      </c>
      <c r="E392" s="32" t="s">
        <v>1708</v>
      </c>
      <c r="F392" s="33">
        <v>46113</v>
      </c>
      <c r="G392" s="40">
        <v>46119</v>
      </c>
      <c r="H392" s="35">
        <v>7472.5</v>
      </c>
      <c r="I392" s="36"/>
      <c r="J392" s="35">
        <f>SUM(Table1[[#This Row],[LC Value]:[Amd Value]])</f>
        <v>7472.5</v>
      </c>
      <c r="K392" s="36">
        <v>3.25</v>
      </c>
      <c r="L392" s="37">
        <v>2450</v>
      </c>
      <c r="M392" s="33" t="s">
        <v>1172</v>
      </c>
      <c r="N392" s="33" t="s">
        <v>1485</v>
      </c>
      <c r="O392" s="38" t="str">
        <f>IFERROR(_xlfn.XLOOKUP(C392, Data!$A$2:$A$236, Data!$C$2:$C$236), "")</f>
        <v>Mr. Amran Sir</v>
      </c>
    </row>
    <row r="393" spans="1:15" ht="42" customHeight="1" x14ac:dyDescent="0.35">
      <c r="A393" s="41">
        <f t="shared" si="1"/>
        <v>376</v>
      </c>
      <c r="B393" s="30" t="s">
        <v>1705</v>
      </c>
      <c r="C393" s="39" t="s">
        <v>1639</v>
      </c>
      <c r="D393" s="29" t="s">
        <v>115</v>
      </c>
      <c r="E393" s="32" t="s">
        <v>1706</v>
      </c>
      <c r="F393" s="33">
        <v>46113</v>
      </c>
      <c r="G393" s="40">
        <v>46119</v>
      </c>
      <c r="H393" s="35">
        <v>6500</v>
      </c>
      <c r="I393" s="36"/>
      <c r="J393" s="35">
        <f>SUM(Table1[[#This Row],[LC Value]:[Amd Value]])</f>
        <v>6500</v>
      </c>
      <c r="K393" s="36">
        <v>3.25</v>
      </c>
      <c r="L393" s="37">
        <v>2000</v>
      </c>
      <c r="M393" s="33" t="s">
        <v>1172</v>
      </c>
      <c r="N393" s="33" t="s">
        <v>1485</v>
      </c>
      <c r="O393" s="38" t="str">
        <f>IFERROR(_xlfn.XLOOKUP(C393, Data!$A$2:$A$236, Data!$C$2:$C$236), "")</f>
        <v>Mr. Amran Sir</v>
      </c>
    </row>
    <row r="394" spans="1:15" ht="42" customHeight="1" x14ac:dyDescent="0.35">
      <c r="A394" s="41">
        <f t="shared" si="1"/>
        <v>375</v>
      </c>
      <c r="B394" s="30" t="s">
        <v>1703</v>
      </c>
      <c r="C394" s="39" t="s">
        <v>90</v>
      </c>
      <c r="D394" s="29" t="s">
        <v>21</v>
      </c>
      <c r="E394" s="32" t="s">
        <v>1704</v>
      </c>
      <c r="F394" s="33">
        <v>46113</v>
      </c>
      <c r="G394" s="40">
        <v>46117</v>
      </c>
      <c r="H394" s="35">
        <v>85000</v>
      </c>
      <c r="I394" s="36">
        <v>67500</v>
      </c>
      <c r="J394" s="35">
        <f>SUM(Table1[[#This Row],[LC Value]:[Amd Value]])</f>
        <v>152500</v>
      </c>
      <c r="K394" s="36">
        <v>3.25</v>
      </c>
      <c r="L394" s="37">
        <v>25000</v>
      </c>
      <c r="M394" s="33" t="s">
        <v>869</v>
      </c>
      <c r="N394" s="33" t="s">
        <v>868</v>
      </c>
      <c r="O394" s="38" t="str">
        <f>IFERROR(_xlfn.XLOOKUP(C394, Data!$A$2:$A$236, Data!$C$2:$C$236), "")</f>
        <v>Mr. Wadud Sir</v>
      </c>
    </row>
    <row r="395" spans="1:15" ht="42" customHeight="1" x14ac:dyDescent="0.35">
      <c r="A395" s="41">
        <f t="shared" si="1"/>
        <v>374</v>
      </c>
      <c r="B395" s="30" t="s">
        <v>1701</v>
      </c>
      <c r="C395" s="39" t="s">
        <v>200</v>
      </c>
      <c r="D395" s="29" t="s">
        <v>79</v>
      </c>
      <c r="E395" s="32" t="s">
        <v>1702</v>
      </c>
      <c r="F395" s="33">
        <v>46114</v>
      </c>
      <c r="G395" s="40">
        <v>46117</v>
      </c>
      <c r="H395" s="35">
        <v>17652.5</v>
      </c>
      <c r="I395" s="36"/>
      <c r="J395" s="35">
        <f>SUM(Table1[[#This Row],[LC Value]:[Amd Value]])</f>
        <v>17652.5</v>
      </c>
      <c r="K395" s="36">
        <v>4.5</v>
      </c>
      <c r="L395" s="37">
        <v>7950</v>
      </c>
      <c r="M395" s="33" t="s">
        <v>1695</v>
      </c>
      <c r="N395" s="33" t="s">
        <v>1694</v>
      </c>
      <c r="O395" s="38" t="str">
        <f>IFERROR(_xlfn.XLOOKUP(C395, Data!$A$2:$A$236, Data!$C$2:$C$236), "")</f>
        <v>MD. Sir</v>
      </c>
    </row>
    <row r="396" spans="1:15" ht="42" customHeight="1" x14ac:dyDescent="0.35">
      <c r="A396" s="41">
        <f t="shared" ref="A396:A650" si="2">A397+1</f>
        <v>373</v>
      </c>
      <c r="B396" s="30" t="s">
        <v>1699</v>
      </c>
      <c r="C396" s="39" t="s">
        <v>200</v>
      </c>
      <c r="D396" s="29" t="s">
        <v>79</v>
      </c>
      <c r="E396" s="32" t="s">
        <v>1700</v>
      </c>
      <c r="F396" s="33">
        <v>46114</v>
      </c>
      <c r="G396" s="40">
        <v>46117</v>
      </c>
      <c r="H396" s="35">
        <v>32175</v>
      </c>
      <c r="I396" s="36">
        <v>11690</v>
      </c>
      <c r="J396" s="35">
        <f>SUM(Table1[[#This Row],[LC Value]:[Amd Value]])</f>
        <v>43865</v>
      </c>
      <c r="K396" s="36">
        <v>4</v>
      </c>
      <c r="L396" s="37">
        <v>7950</v>
      </c>
      <c r="M396" s="33" t="s">
        <v>1695</v>
      </c>
      <c r="N396" s="33" t="s">
        <v>1694</v>
      </c>
      <c r="O396" s="38" t="str">
        <f>IFERROR(_xlfn.XLOOKUP(C396, Data!$A$2:$A$236, Data!$C$2:$C$236), "")</f>
        <v>MD. Sir</v>
      </c>
    </row>
    <row r="397" spans="1:15" ht="42" customHeight="1" x14ac:dyDescent="0.35">
      <c r="A397" s="41">
        <f t="shared" si="2"/>
        <v>372</v>
      </c>
      <c r="B397" s="30" t="s">
        <v>1692</v>
      </c>
      <c r="C397" s="39" t="s">
        <v>185</v>
      </c>
      <c r="D397" s="29" t="s">
        <v>115</v>
      </c>
      <c r="E397" s="32" t="s">
        <v>1693</v>
      </c>
      <c r="F397" s="33" t="s">
        <v>969</v>
      </c>
      <c r="G397" s="40">
        <v>46119</v>
      </c>
      <c r="H397" s="35">
        <v>128400</v>
      </c>
      <c r="I397" s="36"/>
      <c r="J397" s="35">
        <f>SUM(Table1[[#This Row],[LC Value]:[Amd Value]])</f>
        <v>128400</v>
      </c>
      <c r="K397" s="36">
        <v>4.28</v>
      </c>
      <c r="L397" s="37">
        <v>30000</v>
      </c>
      <c r="M397" s="33" t="s">
        <v>1695</v>
      </c>
      <c r="N397" s="33" t="s">
        <v>1694</v>
      </c>
      <c r="O397" s="38" t="str">
        <f>IFERROR(_xlfn.XLOOKUP(C397, Data!$A$2:$A$236, Data!$C$2:$C$236), "")</f>
        <v>Director Sir</v>
      </c>
    </row>
    <row r="398" spans="1:15" ht="42" customHeight="1" x14ac:dyDescent="0.35">
      <c r="A398" s="41">
        <f t="shared" si="2"/>
        <v>371</v>
      </c>
      <c r="B398" s="30" t="s">
        <v>1689</v>
      </c>
      <c r="C398" s="39" t="s">
        <v>264</v>
      </c>
      <c r="D398" s="29" t="s">
        <v>32</v>
      </c>
      <c r="E398" s="32" t="s">
        <v>1690</v>
      </c>
      <c r="F398" s="33" t="s">
        <v>969</v>
      </c>
      <c r="G398" s="40">
        <v>46117</v>
      </c>
      <c r="H398" s="35">
        <v>86265</v>
      </c>
      <c r="I398" s="36"/>
      <c r="J398" s="35">
        <f>SUM(Table1[[#This Row],[LC Value]:[Amd Value]])</f>
        <v>86265</v>
      </c>
      <c r="K398" s="36">
        <v>4.05</v>
      </c>
      <c r="L398" s="37">
        <v>21300</v>
      </c>
      <c r="M398" s="33" t="s">
        <v>1457</v>
      </c>
      <c r="N398" s="33" t="s">
        <v>1691</v>
      </c>
      <c r="O398" s="38" t="str">
        <f>IFERROR(_xlfn.XLOOKUP(C398, Data!$A$2:$A$236, Data!$C$2:$C$236), "")</f>
        <v>Mr. Lipu Sir</v>
      </c>
    </row>
    <row r="399" spans="1:15" ht="42" customHeight="1" x14ac:dyDescent="0.35">
      <c r="A399" s="41">
        <f t="shared" si="2"/>
        <v>370</v>
      </c>
      <c r="B399" s="30" t="s">
        <v>1687</v>
      </c>
      <c r="C399" s="39" t="s">
        <v>201</v>
      </c>
      <c r="D399" s="29" t="s">
        <v>95</v>
      </c>
      <c r="E399" s="32" t="s">
        <v>1688</v>
      </c>
      <c r="F399" s="33" t="s">
        <v>969</v>
      </c>
      <c r="G399" s="40">
        <v>46120</v>
      </c>
      <c r="H399" s="35">
        <v>73700</v>
      </c>
      <c r="I399" s="36"/>
      <c r="J399" s="35">
        <f>SUM(Table1[[#This Row],[LC Value]:[Amd Value]])</f>
        <v>73700</v>
      </c>
      <c r="K399" s="36">
        <v>3.35</v>
      </c>
      <c r="L399" s="37">
        <v>22000</v>
      </c>
      <c r="M399" s="33" t="s">
        <v>1346</v>
      </c>
      <c r="N399" s="33" t="s">
        <v>1172</v>
      </c>
      <c r="O399" s="38" t="str">
        <f>IFERROR(_xlfn.XLOOKUP(C399, Data!$A$2:$A$236, Data!$C$2:$C$236), "")</f>
        <v>Director Sir</v>
      </c>
    </row>
    <row r="400" spans="1:15" ht="42" customHeight="1" x14ac:dyDescent="0.35">
      <c r="A400" s="41">
        <f t="shared" si="2"/>
        <v>369</v>
      </c>
      <c r="B400" s="30" t="s">
        <v>1682</v>
      </c>
      <c r="C400" s="39" t="s">
        <v>1683</v>
      </c>
      <c r="D400" s="29" t="s">
        <v>1684</v>
      </c>
      <c r="E400" s="32" t="s">
        <v>1685</v>
      </c>
      <c r="F400" s="33" t="s">
        <v>969</v>
      </c>
      <c r="G400" s="40">
        <v>46119</v>
      </c>
      <c r="H400" s="35">
        <v>6055</v>
      </c>
      <c r="I400" s="36"/>
      <c r="J400" s="35">
        <f>SUM(Table1[[#This Row],[LC Value]:[Amd Value]])</f>
        <v>6055</v>
      </c>
      <c r="K400" s="36">
        <v>3.1</v>
      </c>
      <c r="L400" s="37">
        <v>1900</v>
      </c>
      <c r="M400" s="33" t="s">
        <v>1346</v>
      </c>
      <c r="N400" s="33" t="s">
        <v>1172</v>
      </c>
      <c r="O400" s="38" t="str">
        <f>IFERROR(_xlfn.XLOOKUP(C400, Data!$A$2:$A$236, Data!$C$2:$C$236), "")</f>
        <v>Mr. Reza Sir</v>
      </c>
    </row>
    <row r="401" spans="1:15" ht="42" customHeight="1" x14ac:dyDescent="0.35">
      <c r="A401" s="41">
        <f t="shared" si="2"/>
        <v>368</v>
      </c>
      <c r="B401" s="30" t="s">
        <v>1680</v>
      </c>
      <c r="C401" s="39" t="s">
        <v>1097</v>
      </c>
      <c r="D401" s="29" t="s">
        <v>273</v>
      </c>
      <c r="E401" s="32" t="s">
        <v>1681</v>
      </c>
      <c r="F401" s="33" t="s">
        <v>440</v>
      </c>
      <c r="G401" s="40">
        <v>46113</v>
      </c>
      <c r="H401" s="35">
        <f>6100+18302.5</f>
        <v>24402.5</v>
      </c>
      <c r="I401" s="36"/>
      <c r="J401" s="35">
        <f>SUM(Table1[[#This Row],[LC Value]:[Amd Value]])</f>
        <v>24402.5</v>
      </c>
      <c r="K401" s="36">
        <v>3.05</v>
      </c>
      <c r="L401" s="37">
        <v>7600</v>
      </c>
      <c r="M401" s="33" t="s">
        <v>931</v>
      </c>
      <c r="N401" s="33" t="s">
        <v>1010</v>
      </c>
      <c r="O401" s="38" t="str">
        <f>IFERROR(_xlfn.XLOOKUP(C401, Data!$A$2:$A$236, Data!$C$2:$C$236), "")</f>
        <v>Mr. Wadud Sir</v>
      </c>
    </row>
    <row r="402" spans="1:15" ht="42" customHeight="1" x14ac:dyDescent="0.35">
      <c r="A402" s="41">
        <f t="shared" si="2"/>
        <v>367</v>
      </c>
      <c r="B402" s="30" t="s">
        <v>1676</v>
      </c>
      <c r="C402" s="39" t="s">
        <v>201</v>
      </c>
      <c r="D402" s="29" t="s">
        <v>95</v>
      </c>
      <c r="E402" s="32" t="s">
        <v>1677</v>
      </c>
      <c r="F402" s="33">
        <v>46113</v>
      </c>
      <c r="G402" s="40">
        <v>46119</v>
      </c>
      <c r="H402" s="35">
        <v>63000</v>
      </c>
      <c r="I402" s="36"/>
      <c r="J402" s="35">
        <f>SUM(Table1[[#This Row],[LC Value]:[Amd Value]])</f>
        <v>63000</v>
      </c>
      <c r="K402" s="36">
        <v>3.15</v>
      </c>
      <c r="L402" s="37">
        <v>20000</v>
      </c>
      <c r="M402" s="33" t="s">
        <v>931</v>
      </c>
      <c r="N402" s="33" t="s">
        <v>1571</v>
      </c>
      <c r="O402" s="38" t="str">
        <f>IFERROR(_xlfn.XLOOKUP(C402, Data!$A$2:$A$236, Data!$C$2:$C$236), "")</f>
        <v>Director Sir</v>
      </c>
    </row>
    <row r="403" spans="1:15" ht="42" customHeight="1" x14ac:dyDescent="0.35">
      <c r="A403" s="41">
        <f t="shared" si="2"/>
        <v>366</v>
      </c>
      <c r="B403" s="30" t="s">
        <v>1674</v>
      </c>
      <c r="C403" s="39" t="s">
        <v>1562</v>
      </c>
      <c r="D403" s="29" t="s">
        <v>1672</v>
      </c>
      <c r="E403" s="32" t="s">
        <v>1675</v>
      </c>
      <c r="F403" s="33" t="s">
        <v>823</v>
      </c>
      <c r="G403" s="40">
        <v>46119</v>
      </c>
      <c r="H403" s="35">
        <v>95000</v>
      </c>
      <c r="I403" s="36"/>
      <c r="J403" s="35">
        <f>SUM(Table1[[#This Row],[LC Value]:[Amd Value]])</f>
        <v>95000</v>
      </c>
      <c r="K403" s="36">
        <v>3.8</v>
      </c>
      <c r="L403" s="37">
        <v>25000</v>
      </c>
      <c r="M403" s="33" t="s">
        <v>1332</v>
      </c>
      <c r="N403" s="33" t="s">
        <v>1398</v>
      </c>
      <c r="O403" s="38" t="str">
        <f>IFERROR(_xlfn.XLOOKUP(C403, Data!$A$2:$A$236, Data!$C$2:$C$236), "")</f>
        <v>Director Sir</v>
      </c>
    </row>
    <row r="404" spans="1:15" ht="42" customHeight="1" x14ac:dyDescent="0.35">
      <c r="A404" s="41">
        <f t="shared" si="2"/>
        <v>365</v>
      </c>
      <c r="B404" s="30" t="s">
        <v>1670</v>
      </c>
      <c r="C404" s="39" t="s">
        <v>1669</v>
      </c>
      <c r="D404" s="29" t="s">
        <v>16</v>
      </c>
      <c r="E404" s="32" t="s">
        <v>1671</v>
      </c>
      <c r="F404" s="33" t="s">
        <v>823</v>
      </c>
      <c r="G404" s="40">
        <v>46114</v>
      </c>
      <c r="H404" s="35">
        <v>90000</v>
      </c>
      <c r="I404" s="36"/>
      <c r="J404" s="35">
        <f>SUM(Table1[[#This Row],[LC Value]:[Amd Value]])</f>
        <v>90000</v>
      </c>
      <c r="K404" s="36">
        <v>3</v>
      </c>
      <c r="L404" s="37">
        <v>30000</v>
      </c>
      <c r="M404" s="33" t="s">
        <v>843</v>
      </c>
      <c r="N404" s="33" t="s">
        <v>936</v>
      </c>
      <c r="O404" s="38" t="str">
        <f>IFERROR(_xlfn.XLOOKUP(C404, Data!$A$2:$A$236, Data!$C$2:$C$236), "")</f>
        <v>MR. Nazrul</v>
      </c>
    </row>
    <row r="405" spans="1:15" ht="42" customHeight="1" x14ac:dyDescent="0.35">
      <c r="A405" s="41">
        <f t="shared" si="2"/>
        <v>364</v>
      </c>
      <c r="B405" s="30" t="s">
        <v>1665</v>
      </c>
      <c r="C405" s="39" t="s">
        <v>199</v>
      </c>
      <c r="D405" s="29" t="s">
        <v>98</v>
      </c>
      <c r="E405" s="32" t="s">
        <v>1666</v>
      </c>
      <c r="F405" s="33" t="s">
        <v>823</v>
      </c>
      <c r="G405" s="40">
        <v>46117</v>
      </c>
      <c r="H405" s="35">
        <v>9715</v>
      </c>
      <c r="I405" s="36">
        <v>10350</v>
      </c>
      <c r="J405" s="35">
        <f>SUM(Table1[[#This Row],[LC Value]:[Amd Value]])</f>
        <v>20065</v>
      </c>
      <c r="K405" s="36">
        <v>3.4</v>
      </c>
      <c r="L405" s="37">
        <v>2900</v>
      </c>
      <c r="M405" s="33" t="s">
        <v>1605</v>
      </c>
      <c r="N405" s="33" t="s">
        <v>1560</v>
      </c>
      <c r="O405" s="38" t="str">
        <f>IFERROR(_xlfn.XLOOKUP(C405, Data!$A$2:$A$236, Data!$C$2:$C$236), "")</f>
        <v>MD. Sir</v>
      </c>
    </row>
    <row r="406" spans="1:15" ht="42" customHeight="1" x14ac:dyDescent="0.35">
      <c r="A406" s="41">
        <f t="shared" si="2"/>
        <v>363</v>
      </c>
      <c r="B406" s="30" t="s">
        <v>1663</v>
      </c>
      <c r="C406" s="39" t="s">
        <v>199</v>
      </c>
      <c r="D406" s="29" t="s">
        <v>98</v>
      </c>
      <c r="E406" s="32" t="s">
        <v>1664</v>
      </c>
      <c r="F406" s="33" t="s">
        <v>823</v>
      </c>
      <c r="G406" s="40">
        <v>46114</v>
      </c>
      <c r="H406" s="35">
        <v>32175</v>
      </c>
      <c r="I406" s="36"/>
      <c r="J406" s="35">
        <f>SUM(Table1[[#This Row],[LC Value]:[Amd Value]])</f>
        <v>32175</v>
      </c>
      <c r="K406" s="36">
        <v>3.85</v>
      </c>
      <c r="L406" s="37">
        <v>8250</v>
      </c>
      <c r="M406" s="33" t="s">
        <v>1605</v>
      </c>
      <c r="N406" s="33" t="s">
        <v>1560</v>
      </c>
      <c r="O406" s="38" t="str">
        <f>IFERROR(_xlfn.XLOOKUP(C406, Data!$A$2:$A$236, Data!$C$2:$C$236), "")</f>
        <v>MD. Sir</v>
      </c>
    </row>
    <row r="407" spans="1:15" ht="42" customHeight="1" x14ac:dyDescent="0.35">
      <c r="A407" s="41">
        <f t="shared" si="2"/>
        <v>362</v>
      </c>
      <c r="B407" s="30" t="s">
        <v>1661</v>
      </c>
      <c r="C407" s="39" t="s">
        <v>1393</v>
      </c>
      <c r="D407" s="29" t="s">
        <v>1454</v>
      </c>
      <c r="E407" s="32" t="s">
        <v>1662</v>
      </c>
      <c r="F407" s="33" t="s">
        <v>823</v>
      </c>
      <c r="G407" s="40">
        <v>46119</v>
      </c>
      <c r="H407" s="35">
        <f>75000*12</f>
        <v>900000</v>
      </c>
      <c r="I407" s="36"/>
      <c r="J407" s="35">
        <f>SUM(Table1[[#This Row],[LC Value]:[Amd Value]])</f>
        <v>900000</v>
      </c>
      <c r="K407" s="36">
        <v>3</v>
      </c>
      <c r="L407" s="37">
        <f>25000*12</f>
        <v>300000</v>
      </c>
      <c r="M407" s="33" t="s">
        <v>1605</v>
      </c>
      <c r="N407" s="33" t="s">
        <v>1560</v>
      </c>
      <c r="O407" s="38" t="str">
        <f>IFERROR(_xlfn.XLOOKUP(C407, Data!$A$2:$A$236, Data!$C$2:$C$236), "")</f>
        <v>Mr. Lipu Sir</v>
      </c>
    </row>
    <row r="408" spans="1:15" ht="42" customHeight="1" x14ac:dyDescent="0.35">
      <c r="A408" s="41">
        <f t="shared" si="2"/>
        <v>361</v>
      </c>
      <c r="B408" s="30" t="s">
        <v>1659</v>
      </c>
      <c r="C408" s="39" t="s">
        <v>242</v>
      </c>
      <c r="D408" s="29" t="s">
        <v>298</v>
      </c>
      <c r="E408" s="32" t="s">
        <v>1660</v>
      </c>
      <c r="F408" s="40">
        <v>46114</v>
      </c>
      <c r="G408" s="34">
        <v>46112</v>
      </c>
      <c r="H408" s="35">
        <f>114640+7637.5+13170</f>
        <v>135447.5</v>
      </c>
      <c r="I408" s="36"/>
      <c r="J408" s="35">
        <f>SUM(Table1[[#This Row],[LC Value]:[Amd Value]])</f>
        <v>135447.5</v>
      </c>
      <c r="K408" s="36">
        <v>2.9</v>
      </c>
      <c r="L408" s="37">
        <f>38850+2350+4450</f>
        <v>45650</v>
      </c>
      <c r="M408" s="33" t="s">
        <v>1566</v>
      </c>
      <c r="N408" s="33" t="s">
        <v>868</v>
      </c>
      <c r="O408" s="38" t="str">
        <f>IFERROR(_xlfn.XLOOKUP(C408, Data!$A$2:$A$236, Data!$C$2:$C$236), "")</f>
        <v>Mr. Reza Sir</v>
      </c>
    </row>
    <row r="409" spans="1:15" ht="42" customHeight="1" x14ac:dyDescent="0.35">
      <c r="A409" s="41">
        <f t="shared" si="2"/>
        <v>360</v>
      </c>
      <c r="B409" s="30" t="s">
        <v>1656</v>
      </c>
      <c r="C409" s="39" t="s">
        <v>297</v>
      </c>
      <c r="D409" s="29" t="s">
        <v>161</v>
      </c>
      <c r="E409" s="32" t="s">
        <v>1657</v>
      </c>
      <c r="F409" s="33" t="s">
        <v>823</v>
      </c>
      <c r="G409" s="40">
        <v>46119</v>
      </c>
      <c r="H409" s="35">
        <f>180000+525000+680000+335000</f>
        <v>1720000</v>
      </c>
      <c r="I409" s="36">
        <v>-2777.5</v>
      </c>
      <c r="J409" s="35">
        <f>SUM(Table1[[#This Row],[LC Value]:[Amd Value]])</f>
        <v>1717222.5</v>
      </c>
      <c r="K409" s="36">
        <v>3.6</v>
      </c>
      <c r="L409" s="37">
        <v>500000</v>
      </c>
      <c r="M409" s="33" t="s">
        <v>1605</v>
      </c>
      <c r="N409" s="33" t="s">
        <v>1658</v>
      </c>
      <c r="O409" s="38" t="str">
        <f>IFERROR(_xlfn.XLOOKUP(C409, Data!$A$2:$A$236, Data!$C$2:$C$236), "")</f>
        <v>Director Sir</v>
      </c>
    </row>
    <row r="410" spans="1:15" ht="42" customHeight="1" x14ac:dyDescent="0.35">
      <c r="A410" s="41">
        <f t="shared" si="2"/>
        <v>359</v>
      </c>
      <c r="B410" s="30" t="s">
        <v>1654</v>
      </c>
      <c r="C410" s="39" t="s">
        <v>77</v>
      </c>
      <c r="D410" s="29" t="s">
        <v>208</v>
      </c>
      <c r="E410" s="32" t="s">
        <v>1655</v>
      </c>
      <c r="F410" s="33" t="s">
        <v>416</v>
      </c>
      <c r="G410" s="40">
        <v>46112</v>
      </c>
      <c r="H410" s="35">
        <v>10042.5</v>
      </c>
      <c r="I410" s="36"/>
      <c r="J410" s="35">
        <f>SUM(Table1[[#This Row],[LC Value]:[Amd Value]])</f>
        <v>10042.5</v>
      </c>
      <c r="K410" s="36">
        <v>3.15</v>
      </c>
      <c r="L410" s="37">
        <v>3250</v>
      </c>
      <c r="M410" s="33" t="s">
        <v>843</v>
      </c>
      <c r="N410" s="33" t="s">
        <v>1255</v>
      </c>
      <c r="O410" s="38" t="str">
        <f>IFERROR(_xlfn.XLOOKUP(C410, Data!$A$2:$A$236, Data!$C$2:$C$236), "")</f>
        <v>Mr. Lipu Sir</v>
      </c>
    </row>
    <row r="411" spans="1:15" ht="42" customHeight="1" x14ac:dyDescent="0.35">
      <c r="A411" s="41">
        <f t="shared" si="2"/>
        <v>358</v>
      </c>
      <c r="B411" s="30" t="s">
        <v>1652</v>
      </c>
      <c r="C411" s="39" t="s">
        <v>1252</v>
      </c>
      <c r="D411" s="29" t="s">
        <v>45</v>
      </c>
      <c r="E411" s="32" t="s">
        <v>1653</v>
      </c>
      <c r="F411" s="33" t="s">
        <v>676</v>
      </c>
      <c r="G411" s="40">
        <v>46113</v>
      </c>
      <c r="H411" s="35">
        <f>29204+28906</f>
        <v>58110</v>
      </c>
      <c r="I411" s="36"/>
      <c r="J411" s="35">
        <f>SUM(Table1[[#This Row],[LC Value]:[Amd Value]])</f>
        <v>58110</v>
      </c>
      <c r="K411" s="36">
        <v>2.98</v>
      </c>
      <c r="L411" s="37">
        <f>9800+9700</f>
        <v>19500</v>
      </c>
      <c r="M411" s="33" t="s">
        <v>843</v>
      </c>
      <c r="N411" s="33" t="s">
        <v>1255</v>
      </c>
      <c r="O411" s="38" t="str">
        <f>IFERROR(_xlfn.XLOOKUP(C411, Data!$A$2:$A$236, Data!$C$2:$C$236), "")</f>
        <v>Mr. Wadud Sir</v>
      </c>
    </row>
    <row r="412" spans="1:15" ht="42" customHeight="1" x14ac:dyDescent="0.35">
      <c r="A412" s="41">
        <f t="shared" si="2"/>
        <v>357</v>
      </c>
      <c r="B412" s="30" t="s">
        <v>1646</v>
      </c>
      <c r="C412" s="43" t="s">
        <v>197</v>
      </c>
      <c r="D412" s="29" t="s">
        <v>1125</v>
      </c>
      <c r="E412" s="32" t="s">
        <v>1647</v>
      </c>
      <c r="F412" s="33" t="s">
        <v>676</v>
      </c>
      <c r="G412" s="40">
        <v>46113</v>
      </c>
      <c r="H412" s="35">
        <f>44250+7250</f>
        <v>51500</v>
      </c>
      <c r="I412" s="36"/>
      <c r="J412" s="35">
        <f>SUM(Table1[[#This Row],[LC Value]:[Amd Value]])</f>
        <v>51500</v>
      </c>
      <c r="K412" s="36">
        <v>2.95</v>
      </c>
      <c r="L412" s="37">
        <v>17500</v>
      </c>
      <c r="M412" s="33" t="s">
        <v>843</v>
      </c>
      <c r="N412" s="33" t="s">
        <v>1010</v>
      </c>
      <c r="O412" s="38" t="str">
        <f>IFERROR(_xlfn.XLOOKUP(C412, Data!$A$2:$A$236, Data!$C$2:$C$236), "")</f>
        <v>Mr. Sohel Sir</v>
      </c>
    </row>
    <row r="413" spans="1:15" ht="42" customHeight="1" x14ac:dyDescent="0.35">
      <c r="A413" s="41">
        <f t="shared" si="2"/>
        <v>356</v>
      </c>
      <c r="B413" s="30" t="s">
        <v>1642</v>
      </c>
      <c r="C413" s="39" t="s">
        <v>200</v>
      </c>
      <c r="D413" s="29" t="s">
        <v>98</v>
      </c>
      <c r="E413" s="32" t="s">
        <v>1643</v>
      </c>
      <c r="F413" s="33" t="s">
        <v>676</v>
      </c>
      <c r="G413" s="40">
        <v>46113</v>
      </c>
      <c r="H413" s="35">
        <v>12205</v>
      </c>
      <c r="I413" s="36"/>
      <c r="J413" s="35">
        <f>SUM(Table1[[#This Row],[LC Value]:[Amd Value]])</f>
        <v>12205</v>
      </c>
      <c r="K413" s="36">
        <v>4.5</v>
      </c>
      <c r="L413" s="37">
        <v>2750</v>
      </c>
      <c r="M413" s="33" t="s">
        <v>843</v>
      </c>
      <c r="N413" s="33" t="s">
        <v>1010</v>
      </c>
      <c r="O413" s="38" t="str">
        <f>IFERROR(_xlfn.XLOOKUP(C413, Data!$A$2:$A$236, Data!$C$2:$C$236), "")</f>
        <v>MD. Sir</v>
      </c>
    </row>
    <row r="414" spans="1:15" ht="42" customHeight="1" x14ac:dyDescent="0.35">
      <c r="A414" s="41">
        <f t="shared" si="2"/>
        <v>355</v>
      </c>
      <c r="B414" s="30" t="s">
        <v>1640</v>
      </c>
      <c r="C414" s="39" t="s">
        <v>1639</v>
      </c>
      <c r="D414" s="29" t="s">
        <v>115</v>
      </c>
      <c r="E414" s="32" t="s">
        <v>1641</v>
      </c>
      <c r="F414" s="33" t="s">
        <v>676</v>
      </c>
      <c r="G414" s="40">
        <v>46114</v>
      </c>
      <c r="H414" s="35">
        <v>11340</v>
      </c>
      <c r="I414" s="36"/>
      <c r="J414" s="35">
        <f>SUM(Table1[[#This Row],[LC Value]:[Amd Value]])</f>
        <v>11340</v>
      </c>
      <c r="K414" s="36">
        <v>3.15</v>
      </c>
      <c r="L414" s="37">
        <v>3600</v>
      </c>
      <c r="M414" s="33" t="s">
        <v>843</v>
      </c>
      <c r="N414" s="33" t="s">
        <v>1010</v>
      </c>
      <c r="O414" s="38" t="str">
        <f>IFERROR(_xlfn.XLOOKUP(C414, Data!$A$2:$A$236, Data!$C$2:$C$236), "")</f>
        <v>Mr. Amran Sir</v>
      </c>
    </row>
    <row r="415" spans="1:15" ht="42" customHeight="1" x14ac:dyDescent="0.35">
      <c r="A415" s="41">
        <f t="shared" si="2"/>
        <v>354</v>
      </c>
      <c r="B415" s="30" t="s">
        <v>1635</v>
      </c>
      <c r="C415" s="39" t="s">
        <v>199</v>
      </c>
      <c r="D415" s="29" t="s">
        <v>32</v>
      </c>
      <c r="E415" s="32" t="s">
        <v>1636</v>
      </c>
      <c r="F415" s="33" t="s">
        <v>676</v>
      </c>
      <c r="G415" s="40">
        <v>46113</v>
      </c>
      <c r="H415" s="35">
        <v>63000</v>
      </c>
      <c r="I415" s="36">
        <v>27560</v>
      </c>
      <c r="J415" s="35">
        <f>SUM(Table1[[#This Row],[LC Value]:[Amd Value]])</f>
        <v>90560</v>
      </c>
      <c r="K415" s="36">
        <v>2.8</v>
      </c>
      <c r="L415" s="37">
        <v>22500</v>
      </c>
      <c r="M415" s="33" t="s">
        <v>1131</v>
      </c>
      <c r="N415" s="33" t="s">
        <v>1332</v>
      </c>
      <c r="O415" s="38" t="str">
        <f>IFERROR(_xlfn.XLOOKUP(C415, Data!$A$2:$A$236, Data!$C$2:$C$236), "")</f>
        <v>MD. Sir</v>
      </c>
    </row>
    <row r="416" spans="1:15" ht="42" customHeight="1" x14ac:dyDescent="0.35">
      <c r="A416" s="41">
        <f t="shared" si="2"/>
        <v>353</v>
      </c>
      <c r="B416" s="30" t="s">
        <v>1633</v>
      </c>
      <c r="C416" s="39" t="s">
        <v>199</v>
      </c>
      <c r="D416" s="29" t="s">
        <v>32</v>
      </c>
      <c r="E416" s="32" t="s">
        <v>1634</v>
      </c>
      <c r="F416" s="33" t="s">
        <v>676</v>
      </c>
      <c r="G416" s="40">
        <v>46113</v>
      </c>
      <c r="H416" s="35">
        <v>71700</v>
      </c>
      <c r="I416" s="36"/>
      <c r="J416" s="35">
        <f>SUM(Table1[[#This Row],[LC Value]:[Amd Value]])</f>
        <v>71700</v>
      </c>
      <c r="K416" s="36">
        <v>3</v>
      </c>
      <c r="L416" s="37">
        <v>23900</v>
      </c>
      <c r="M416" s="33" t="s">
        <v>1131</v>
      </c>
      <c r="N416" s="33" t="s">
        <v>1332</v>
      </c>
      <c r="O416" s="38" t="str">
        <f>IFERROR(_xlfn.XLOOKUP(C416, Data!$A$2:$A$236, Data!$C$2:$C$236), "")</f>
        <v>MD. Sir</v>
      </c>
    </row>
    <row r="417" spans="1:15" ht="42" customHeight="1" x14ac:dyDescent="0.35">
      <c r="A417" s="41">
        <f t="shared" si="2"/>
        <v>352</v>
      </c>
      <c r="B417" s="30" t="s">
        <v>1630</v>
      </c>
      <c r="C417" s="31" t="s">
        <v>247</v>
      </c>
      <c r="D417" s="29" t="s">
        <v>1631</v>
      </c>
      <c r="E417" s="32" t="s">
        <v>1632</v>
      </c>
      <c r="F417" s="33" t="s">
        <v>676</v>
      </c>
      <c r="G417" s="34">
        <v>46111</v>
      </c>
      <c r="H417" s="35">
        <v>7770</v>
      </c>
      <c r="I417" s="36"/>
      <c r="J417" s="35">
        <f>SUM(Table1[[#This Row],[LC Value]:[Amd Value]])</f>
        <v>7770</v>
      </c>
      <c r="K417" s="36">
        <v>4.2</v>
      </c>
      <c r="L417" s="37">
        <v>4750</v>
      </c>
      <c r="M417" s="33" t="s">
        <v>1131</v>
      </c>
      <c r="N417" s="33" t="s">
        <v>1332</v>
      </c>
      <c r="O417" s="38" t="str">
        <f>IFERROR(_xlfn.XLOOKUP(C417, Data!$A$2:$A$236, Data!$C$2:$C$236), "")</f>
        <v>Mr. Lipu Sir</v>
      </c>
    </row>
    <row r="418" spans="1:15" ht="42" customHeight="1" x14ac:dyDescent="0.35">
      <c r="A418" s="41">
        <f t="shared" si="2"/>
        <v>351</v>
      </c>
      <c r="B418" s="30" t="s">
        <v>1628</v>
      </c>
      <c r="C418" s="39" t="s">
        <v>200</v>
      </c>
      <c r="D418" s="29" t="s">
        <v>79</v>
      </c>
      <c r="E418" s="32" t="s">
        <v>1629</v>
      </c>
      <c r="F418" s="33" t="s">
        <v>676</v>
      </c>
      <c r="G418" s="40">
        <v>46113</v>
      </c>
      <c r="H418" s="35">
        <f>229510+58265</f>
        <v>287775</v>
      </c>
      <c r="I418" s="36"/>
      <c r="J418" s="35">
        <f>SUM(Table1[[#This Row],[LC Value]:[Amd Value]])</f>
        <v>287775</v>
      </c>
      <c r="K418" s="36">
        <v>4.2</v>
      </c>
      <c r="L418" s="37">
        <v>4750</v>
      </c>
      <c r="M418" s="33" t="s">
        <v>1131</v>
      </c>
      <c r="N418" s="33" t="s">
        <v>1332</v>
      </c>
      <c r="O418" s="38" t="str">
        <f>IFERROR(_xlfn.XLOOKUP(C418, Data!$A$2:$A$236, Data!$C$2:$C$236), "")</f>
        <v>MD. Sir</v>
      </c>
    </row>
    <row r="419" spans="1:15" ht="42" customHeight="1" x14ac:dyDescent="0.35">
      <c r="A419" s="41">
        <f t="shared" si="2"/>
        <v>350</v>
      </c>
      <c r="B419" s="30" t="s">
        <v>1626</v>
      </c>
      <c r="C419" s="39" t="s">
        <v>200</v>
      </c>
      <c r="D419" s="29" t="s">
        <v>79</v>
      </c>
      <c r="E419" s="32" t="s">
        <v>1627</v>
      </c>
      <c r="F419" s="33" t="s">
        <v>676</v>
      </c>
      <c r="G419" s="40">
        <v>46113</v>
      </c>
      <c r="H419" s="35">
        <v>13300</v>
      </c>
      <c r="I419" s="36"/>
      <c r="J419" s="35">
        <f>SUM(Table1[[#This Row],[LC Value]:[Amd Value]])</f>
        <v>13300</v>
      </c>
      <c r="K419" s="36">
        <v>4.2</v>
      </c>
      <c r="L419" s="37">
        <v>4750</v>
      </c>
      <c r="M419" s="33" t="s">
        <v>1131</v>
      </c>
      <c r="N419" s="33" t="s">
        <v>1332</v>
      </c>
      <c r="O419" s="38" t="str">
        <f>IFERROR(_xlfn.XLOOKUP(C419, Data!$A$2:$A$236, Data!$C$2:$C$236), "")</f>
        <v>MD. Sir</v>
      </c>
    </row>
    <row r="420" spans="1:15" ht="42" customHeight="1" x14ac:dyDescent="0.35">
      <c r="A420" s="41">
        <f t="shared" si="2"/>
        <v>349</v>
      </c>
      <c r="B420" s="30" t="s">
        <v>1624</v>
      </c>
      <c r="C420" s="39" t="s">
        <v>200</v>
      </c>
      <c r="D420" s="29" t="s">
        <v>79</v>
      </c>
      <c r="E420" s="32" t="s">
        <v>1625</v>
      </c>
      <c r="F420" s="33" t="s">
        <v>676</v>
      </c>
      <c r="G420" s="40">
        <v>46113</v>
      </c>
      <c r="H420" s="35">
        <v>36330</v>
      </c>
      <c r="I420" s="36"/>
      <c r="J420" s="35">
        <f>SUM(Table1[[#This Row],[LC Value]:[Amd Value]])</f>
        <v>36330</v>
      </c>
      <c r="K420" s="36">
        <v>4.2</v>
      </c>
      <c r="L420" s="37">
        <v>8650</v>
      </c>
      <c r="M420" s="33" t="s">
        <v>1131</v>
      </c>
      <c r="N420" s="33" t="s">
        <v>1332</v>
      </c>
      <c r="O420" s="38" t="str">
        <f>IFERROR(_xlfn.XLOOKUP(C420, Data!$A$2:$A$236, Data!$C$2:$C$236), "")</f>
        <v>MD. Sir</v>
      </c>
    </row>
    <row r="421" spans="1:15" ht="42" customHeight="1" x14ac:dyDescent="0.35">
      <c r="A421" s="41">
        <f t="shared" si="2"/>
        <v>348</v>
      </c>
      <c r="B421" s="30" t="s">
        <v>1622</v>
      </c>
      <c r="C421" s="39" t="s">
        <v>64</v>
      </c>
      <c r="D421" s="29" t="s">
        <v>43</v>
      </c>
      <c r="E421" s="32" t="s">
        <v>1623</v>
      </c>
      <c r="F421" s="33" t="s">
        <v>1466</v>
      </c>
      <c r="G421" s="40">
        <v>46113</v>
      </c>
      <c r="H421" s="35">
        <v>6150</v>
      </c>
      <c r="I421" s="36"/>
      <c r="J421" s="35">
        <f>SUM(Table1[[#This Row],[LC Value]:[Amd Value]])</f>
        <v>6150</v>
      </c>
      <c r="K421" s="36">
        <v>3.05</v>
      </c>
      <c r="L421" s="37">
        <v>2000</v>
      </c>
      <c r="M421" s="33" t="s">
        <v>1131</v>
      </c>
      <c r="N421" s="33" t="s">
        <v>1332</v>
      </c>
      <c r="O421" s="38" t="str">
        <f>IFERROR(_xlfn.XLOOKUP(C421, Data!$A$2:$A$236, Data!$C$2:$C$236), "")</f>
        <v>Mr. Reza Sir</v>
      </c>
    </row>
    <row r="422" spans="1:15" ht="42" customHeight="1" x14ac:dyDescent="0.35">
      <c r="A422" s="41">
        <f t="shared" si="2"/>
        <v>347</v>
      </c>
      <c r="B422" s="30" t="s">
        <v>1620</v>
      </c>
      <c r="C422" s="39" t="s">
        <v>197</v>
      </c>
      <c r="D422" s="29" t="s">
        <v>103</v>
      </c>
      <c r="E422" s="32" t="s">
        <v>1621</v>
      </c>
      <c r="F422" s="33" t="s">
        <v>1466</v>
      </c>
      <c r="G422" s="40">
        <v>46112</v>
      </c>
      <c r="H422" s="35">
        <v>18160</v>
      </c>
      <c r="I422" s="36"/>
      <c r="J422" s="35">
        <f>SUM(Table1[[#This Row],[LC Value]:[Amd Value]])</f>
        <v>18160</v>
      </c>
      <c r="K422" s="36">
        <v>3.05</v>
      </c>
      <c r="L422" s="37">
        <v>5750</v>
      </c>
      <c r="M422" s="33" t="s">
        <v>1131</v>
      </c>
      <c r="N422" s="33" t="s">
        <v>1332</v>
      </c>
      <c r="O422" s="38" t="str">
        <f>IFERROR(_xlfn.XLOOKUP(C422, Data!$A$2:$A$236, Data!$C$2:$C$236), "")</f>
        <v>Mr. Sohel Sir</v>
      </c>
    </row>
    <row r="423" spans="1:15" ht="42" customHeight="1" x14ac:dyDescent="0.35">
      <c r="A423" s="41">
        <f t="shared" si="2"/>
        <v>346</v>
      </c>
      <c r="B423" s="30" t="s">
        <v>1617</v>
      </c>
      <c r="C423" s="39" t="s">
        <v>197</v>
      </c>
      <c r="D423" s="29" t="s">
        <v>103</v>
      </c>
      <c r="E423" s="32" t="s">
        <v>1618</v>
      </c>
      <c r="F423" s="33" t="s">
        <v>440</v>
      </c>
      <c r="G423" s="40">
        <v>46111</v>
      </c>
      <c r="H423" s="35">
        <f>45000+44250</f>
        <v>89250</v>
      </c>
      <c r="I423" s="36"/>
      <c r="J423" s="35">
        <f>SUM(Table1[[#This Row],[LC Value]:[Amd Value]])</f>
        <v>89250</v>
      </c>
      <c r="K423" s="36">
        <v>3.25</v>
      </c>
      <c r="L423" s="37">
        <f>47000+25000+15000</f>
        <v>87000</v>
      </c>
      <c r="M423" s="33" t="s">
        <v>1131</v>
      </c>
      <c r="N423" s="33" t="s">
        <v>1332</v>
      </c>
      <c r="O423" s="38" t="str">
        <f>IFERROR(_xlfn.XLOOKUP(C423, Data!$A$2:$A$236, Data!$C$2:$C$236), "")</f>
        <v>Mr. Sohel Sir</v>
      </c>
    </row>
    <row r="424" spans="1:15" ht="42" customHeight="1" x14ac:dyDescent="0.35">
      <c r="A424" s="41">
        <f t="shared" si="2"/>
        <v>345</v>
      </c>
      <c r="B424" s="30" t="s">
        <v>1611</v>
      </c>
      <c r="C424" s="39" t="s">
        <v>201</v>
      </c>
      <c r="D424" s="29" t="s">
        <v>21</v>
      </c>
      <c r="E424" s="32" t="s">
        <v>1612</v>
      </c>
      <c r="F424" s="33" t="s">
        <v>1466</v>
      </c>
      <c r="G424" s="40">
        <v>46112</v>
      </c>
      <c r="H424" s="35">
        <f>152750+80000+48000</f>
        <v>280750</v>
      </c>
      <c r="I424" s="36"/>
      <c r="J424" s="35">
        <f>SUM(Table1[[#This Row],[LC Value]:[Amd Value]])</f>
        <v>280750</v>
      </c>
      <c r="K424" s="36">
        <v>3.25</v>
      </c>
      <c r="L424" s="37">
        <f>47000+25000+15000</f>
        <v>87000</v>
      </c>
      <c r="M424" s="33" t="s">
        <v>955</v>
      </c>
      <c r="N424" s="33" t="s">
        <v>1131</v>
      </c>
      <c r="O424" s="38" t="str">
        <f>IFERROR(_xlfn.XLOOKUP(C424, Data!$A$2:$A$236, Data!$C$2:$C$236), "")</f>
        <v>Director Sir</v>
      </c>
    </row>
    <row r="425" spans="1:15" ht="42" customHeight="1" x14ac:dyDescent="0.35">
      <c r="A425" s="41">
        <f t="shared" si="2"/>
        <v>344</v>
      </c>
      <c r="B425" s="30" t="s">
        <v>1609</v>
      </c>
      <c r="C425" s="39" t="s">
        <v>200</v>
      </c>
      <c r="D425" s="29" t="s">
        <v>98</v>
      </c>
      <c r="E425" s="32" t="s">
        <v>1610</v>
      </c>
      <c r="F425" s="33" t="s">
        <v>1466</v>
      </c>
      <c r="G425" s="40">
        <v>46113</v>
      </c>
      <c r="H425" s="35">
        <v>36900</v>
      </c>
      <c r="I425" s="36"/>
      <c r="J425" s="35">
        <f>SUM(Table1[[#This Row],[LC Value]:[Amd Value]])</f>
        <v>36900</v>
      </c>
      <c r="K425" s="36">
        <v>4.5</v>
      </c>
      <c r="L425" s="37">
        <v>8200</v>
      </c>
      <c r="M425" s="33" t="s">
        <v>951</v>
      </c>
      <c r="N425" s="33" t="s">
        <v>1255</v>
      </c>
      <c r="O425" s="38" t="str">
        <f>IFERROR(_xlfn.XLOOKUP(C425, Data!$A$2:$A$236, Data!$C$2:$C$236), "")</f>
        <v>MD. Sir</v>
      </c>
    </row>
    <row r="426" spans="1:15" ht="42" customHeight="1" x14ac:dyDescent="0.35">
      <c r="A426" s="41">
        <f t="shared" si="2"/>
        <v>343</v>
      </c>
      <c r="B426" s="30" t="s">
        <v>1603</v>
      </c>
      <c r="C426" s="39" t="s">
        <v>90</v>
      </c>
      <c r="D426" s="29" t="s">
        <v>21</v>
      </c>
      <c r="E426" s="32" t="s">
        <v>1604</v>
      </c>
      <c r="F426" s="33" t="s">
        <v>782</v>
      </c>
      <c r="G426" s="40">
        <v>46112</v>
      </c>
      <c r="H426" s="35">
        <v>88500</v>
      </c>
      <c r="I426" s="36"/>
      <c r="J426" s="35">
        <f>SUM(Table1[[#This Row],[LC Value]:[Amd Value]])</f>
        <v>88500</v>
      </c>
      <c r="K426" s="36">
        <v>8.85</v>
      </c>
      <c r="L426" s="37">
        <v>10000</v>
      </c>
      <c r="M426" s="33" t="s">
        <v>1606</v>
      </c>
      <c r="N426" s="33" t="s">
        <v>1605</v>
      </c>
      <c r="O426" s="38" t="str">
        <f>IFERROR(_xlfn.XLOOKUP(C426, Data!$A$2:$A$236, Data!$C$2:$C$236), "")</f>
        <v>Mr. Wadud Sir</v>
      </c>
    </row>
    <row r="427" spans="1:15" ht="42" customHeight="1" x14ac:dyDescent="0.35">
      <c r="A427" s="41">
        <f t="shared" si="2"/>
        <v>342</v>
      </c>
      <c r="B427" s="30" t="s">
        <v>1600</v>
      </c>
      <c r="C427" s="39" t="s">
        <v>64</v>
      </c>
      <c r="D427" s="29" t="s">
        <v>21</v>
      </c>
      <c r="E427" s="32" t="s">
        <v>1601</v>
      </c>
      <c r="F427" s="33" t="s">
        <v>1602</v>
      </c>
      <c r="G427" s="40">
        <v>46112</v>
      </c>
      <c r="H427" s="35">
        <v>46275</v>
      </c>
      <c r="I427" s="36"/>
      <c r="J427" s="35">
        <f>SUM(Table1[[#This Row],[LC Value]:[Amd Value]])</f>
        <v>46275</v>
      </c>
      <c r="K427" s="36">
        <v>3.2</v>
      </c>
      <c r="L427" s="37">
        <v>13500</v>
      </c>
      <c r="M427" s="33" t="s">
        <v>869</v>
      </c>
      <c r="N427" s="33" t="s">
        <v>868</v>
      </c>
      <c r="O427" s="38" t="str">
        <f>IFERROR(_xlfn.XLOOKUP(C427, Data!$A$2:$A$236, Data!$C$2:$C$236), "")</f>
        <v>Mr. Reza Sir</v>
      </c>
    </row>
    <row r="428" spans="1:15" ht="42" customHeight="1" x14ac:dyDescent="0.35">
      <c r="A428" s="41">
        <f t="shared" si="2"/>
        <v>341</v>
      </c>
      <c r="B428" s="30" t="s">
        <v>1595</v>
      </c>
      <c r="C428" s="39" t="s">
        <v>212</v>
      </c>
      <c r="D428" s="29" t="s">
        <v>213</v>
      </c>
      <c r="E428" s="32" t="s">
        <v>1596</v>
      </c>
      <c r="F428" s="33" t="s">
        <v>440</v>
      </c>
      <c r="G428" s="40">
        <v>46111</v>
      </c>
      <c r="H428" s="35">
        <v>9067.5</v>
      </c>
      <c r="I428" s="36"/>
      <c r="J428" s="35">
        <f>SUM(Table1[[#This Row],[LC Value]:[Amd Value]])</f>
        <v>9067.5</v>
      </c>
      <c r="K428" s="36">
        <v>3.55</v>
      </c>
      <c r="L428" s="37">
        <v>2450</v>
      </c>
      <c r="M428" s="33" t="s">
        <v>956</v>
      </c>
      <c r="N428" s="33" t="s">
        <v>955</v>
      </c>
      <c r="O428" s="38" t="str">
        <f>IFERROR(_xlfn.XLOOKUP(C428, Data!$A$2:$A$236, Data!$C$2:$C$236), "")</f>
        <v>Mr. Reza Sir</v>
      </c>
    </row>
    <row r="429" spans="1:15" ht="42" customHeight="1" x14ac:dyDescent="0.35">
      <c r="A429" s="41">
        <f t="shared" si="2"/>
        <v>340</v>
      </c>
      <c r="B429" s="30" t="s">
        <v>1593</v>
      </c>
      <c r="C429" s="39" t="s">
        <v>184</v>
      </c>
      <c r="D429" s="29" t="s">
        <v>18</v>
      </c>
      <c r="E429" s="32" t="s">
        <v>1594</v>
      </c>
      <c r="F429" s="33" t="s">
        <v>440</v>
      </c>
      <c r="G429" s="40">
        <v>46110</v>
      </c>
      <c r="H429" s="35">
        <v>17855</v>
      </c>
      <c r="I429" s="36"/>
      <c r="J429" s="35">
        <f>SUM(Table1[[#This Row],[LC Value]:[Amd Value]])</f>
        <v>17855</v>
      </c>
      <c r="K429" s="36">
        <v>3.1</v>
      </c>
      <c r="L429" s="37">
        <v>5700</v>
      </c>
      <c r="M429" s="33" t="s">
        <v>1131</v>
      </c>
      <c r="N429" s="33" t="s">
        <v>1457</v>
      </c>
      <c r="O429" s="38" t="str">
        <f>IFERROR(_xlfn.XLOOKUP(C429, Data!$A$2:$A$236, Data!$C$2:$C$236), "")</f>
        <v>Mr. Amran Sir</v>
      </c>
    </row>
    <row r="430" spans="1:15" ht="42" customHeight="1" x14ac:dyDescent="0.35">
      <c r="A430" s="41">
        <f t="shared" si="2"/>
        <v>339</v>
      </c>
      <c r="B430" s="30" t="s">
        <v>1591</v>
      </c>
      <c r="C430" s="39" t="s">
        <v>174</v>
      </c>
      <c r="D430" s="29" t="s">
        <v>2691</v>
      </c>
      <c r="E430" s="32" t="s">
        <v>1592</v>
      </c>
      <c r="F430" s="33" t="s">
        <v>449</v>
      </c>
      <c r="G430" s="40">
        <v>46112</v>
      </c>
      <c r="H430" s="35">
        <v>18945</v>
      </c>
      <c r="I430" s="36"/>
      <c r="J430" s="35">
        <f>SUM(Table1[[#This Row],[LC Value]:[Amd Value]])</f>
        <v>18945</v>
      </c>
      <c r="K430" s="36">
        <v>3.55</v>
      </c>
      <c r="L430" s="37">
        <v>5200</v>
      </c>
      <c r="M430" s="33" t="s">
        <v>1131</v>
      </c>
      <c r="N430" s="33" t="s">
        <v>1457</v>
      </c>
      <c r="O430" s="38" t="str">
        <f>IFERROR(_xlfn.XLOOKUP(C430, Data!$A$2:$A$236, Data!$C$2:$C$236), "")</f>
        <v>Mr. Reza Sir</v>
      </c>
    </row>
    <row r="431" spans="1:15" ht="42" customHeight="1" x14ac:dyDescent="0.35">
      <c r="A431" s="41">
        <f t="shared" si="2"/>
        <v>338</v>
      </c>
      <c r="B431" s="30" t="s">
        <v>1587</v>
      </c>
      <c r="C431" s="39" t="s">
        <v>200</v>
      </c>
      <c r="D431" s="29" t="s">
        <v>135</v>
      </c>
      <c r="E431" s="32" t="s">
        <v>1588</v>
      </c>
      <c r="F431" s="33" t="s">
        <v>440</v>
      </c>
      <c r="G431" s="40">
        <v>46112</v>
      </c>
      <c r="H431" s="35">
        <v>22522.5</v>
      </c>
      <c r="I431" s="36"/>
      <c r="J431" s="35">
        <f>SUM(Table1[[#This Row],[LC Value]:[Amd Value]])</f>
        <v>22522.5</v>
      </c>
      <c r="K431" s="36">
        <v>2.5</v>
      </c>
      <c r="L431" s="37">
        <v>8550</v>
      </c>
      <c r="M431" s="33" t="s">
        <v>1131</v>
      </c>
      <c r="N431" s="33" t="s">
        <v>1457</v>
      </c>
      <c r="O431" s="38" t="str">
        <f>IFERROR(_xlfn.XLOOKUP(C431, Data!$A$2:$A$236, Data!$C$2:$C$236), "")</f>
        <v>MD. Sir</v>
      </c>
    </row>
    <row r="432" spans="1:15" ht="42" customHeight="1" x14ac:dyDescent="0.35">
      <c r="A432" s="41">
        <f t="shared" si="2"/>
        <v>337</v>
      </c>
      <c r="B432" s="30" t="s">
        <v>1585</v>
      </c>
      <c r="C432" s="39" t="s">
        <v>200</v>
      </c>
      <c r="D432" s="29" t="s">
        <v>98</v>
      </c>
      <c r="E432" s="32" t="s">
        <v>1586</v>
      </c>
      <c r="F432" s="33" t="s">
        <v>440</v>
      </c>
      <c r="G432" s="40">
        <v>46111</v>
      </c>
      <c r="H432" s="35">
        <v>11700</v>
      </c>
      <c r="I432" s="36"/>
      <c r="J432" s="35">
        <f>SUM(Table1[[#This Row],[LC Value]:[Amd Value]])</f>
        <v>11700</v>
      </c>
      <c r="K432" s="36">
        <v>9</v>
      </c>
      <c r="L432" s="37">
        <v>1300</v>
      </c>
      <c r="M432" s="33" t="s">
        <v>1131</v>
      </c>
      <c r="N432" s="33" t="s">
        <v>1457</v>
      </c>
      <c r="O432" s="38" t="str">
        <f>IFERROR(_xlfn.XLOOKUP(C432, Data!$A$2:$A$236, Data!$C$2:$C$236), "")</f>
        <v>MD. Sir</v>
      </c>
    </row>
    <row r="433" spans="1:15" ht="42" customHeight="1" x14ac:dyDescent="0.35">
      <c r="A433" s="41">
        <f t="shared" si="2"/>
        <v>336</v>
      </c>
      <c r="B433" s="30" t="s">
        <v>1583</v>
      </c>
      <c r="C433" s="39" t="s">
        <v>199</v>
      </c>
      <c r="D433" s="29" t="s">
        <v>98</v>
      </c>
      <c r="E433" s="32" t="s">
        <v>1584</v>
      </c>
      <c r="F433" s="33" t="s">
        <v>440</v>
      </c>
      <c r="G433" s="40">
        <v>46121</v>
      </c>
      <c r="H433" s="35">
        <v>155235</v>
      </c>
      <c r="I433" s="36"/>
      <c r="J433" s="35">
        <f>SUM(Table1[[#This Row],[LC Value]:[Amd Value]])</f>
        <v>155235</v>
      </c>
      <c r="K433" s="36">
        <v>3</v>
      </c>
      <c r="L433" s="37">
        <v>52800</v>
      </c>
      <c r="M433" s="33" t="s">
        <v>1131</v>
      </c>
      <c r="N433" s="33" t="s">
        <v>1457</v>
      </c>
      <c r="O433" s="38" t="str">
        <f>IFERROR(_xlfn.XLOOKUP(C433, Data!$A$2:$A$236, Data!$C$2:$C$236), "")</f>
        <v>MD. Sir</v>
      </c>
    </row>
    <row r="434" spans="1:15" ht="42" customHeight="1" x14ac:dyDescent="0.35">
      <c r="A434" s="41">
        <f t="shared" si="2"/>
        <v>335</v>
      </c>
      <c r="B434" s="30" t="s">
        <v>1579</v>
      </c>
      <c r="C434" s="39" t="s">
        <v>1578</v>
      </c>
      <c r="D434" s="29" t="s">
        <v>1580</v>
      </c>
      <c r="E434" s="32" t="s">
        <v>1581</v>
      </c>
      <c r="F434" s="33" t="s">
        <v>440</v>
      </c>
      <c r="G434" s="40">
        <v>46111</v>
      </c>
      <c r="H434" s="35">
        <f>295000+295000</f>
        <v>590000</v>
      </c>
      <c r="I434" s="36"/>
      <c r="J434" s="35">
        <f>SUM(Table1[[#This Row],[LC Value]:[Amd Value]])</f>
        <v>590000</v>
      </c>
      <c r="K434" s="36">
        <v>2.95</v>
      </c>
      <c r="L434" s="37">
        <v>200000</v>
      </c>
      <c r="M434" s="33" t="s">
        <v>1131</v>
      </c>
      <c r="N434" s="33" t="s">
        <v>1457</v>
      </c>
      <c r="O434" s="38" t="str">
        <f>IFERROR(_xlfn.XLOOKUP(C434, Data!$A$2:$A$236, Data!$C$2:$C$236), "")</f>
        <v>Director Sir</v>
      </c>
    </row>
    <row r="435" spans="1:15" ht="42" customHeight="1" x14ac:dyDescent="0.35">
      <c r="A435" s="41">
        <f t="shared" si="2"/>
        <v>334</v>
      </c>
      <c r="B435" s="30" t="s">
        <v>1575</v>
      </c>
      <c r="C435" s="39" t="s">
        <v>75</v>
      </c>
      <c r="D435" s="29" t="s">
        <v>83</v>
      </c>
      <c r="E435" s="32" t="s">
        <v>1576</v>
      </c>
      <c r="F435" s="33" t="s">
        <v>449</v>
      </c>
      <c r="G435" s="40">
        <v>46112</v>
      </c>
      <c r="H435" s="35">
        <v>8920</v>
      </c>
      <c r="I435" s="36"/>
      <c r="J435" s="35">
        <f>SUM(Table1[[#This Row],[LC Value]:[Amd Value]])</f>
        <v>8920</v>
      </c>
      <c r="K435" s="36">
        <v>3.05</v>
      </c>
      <c r="L435" s="37">
        <v>2900</v>
      </c>
      <c r="M435" s="33" t="s">
        <v>1010</v>
      </c>
      <c r="N435" s="33" t="s">
        <v>1172</v>
      </c>
      <c r="O435" s="38" t="str">
        <f>IFERROR(_xlfn.XLOOKUP(C435, Data!$A$2:$A$236, Data!$C$2:$C$236), "")</f>
        <v>Mr. Lipu Sir</v>
      </c>
    </row>
    <row r="436" spans="1:15" ht="42" customHeight="1" x14ac:dyDescent="0.35">
      <c r="A436" s="41">
        <f t="shared" si="2"/>
        <v>333</v>
      </c>
      <c r="B436" s="30" t="s">
        <v>1572</v>
      </c>
      <c r="C436" s="39" t="s">
        <v>274</v>
      </c>
      <c r="D436" s="29" t="s">
        <v>135</v>
      </c>
      <c r="E436" s="32" t="s">
        <v>1573</v>
      </c>
      <c r="F436" s="33" t="s">
        <v>782</v>
      </c>
      <c r="G436" s="40">
        <v>46112</v>
      </c>
      <c r="H436" s="35">
        <v>22717.5</v>
      </c>
      <c r="I436" s="36">
        <f>15072.5+21525</f>
        <v>36597.5</v>
      </c>
      <c r="J436" s="35">
        <f>SUM(Table1[[#This Row],[LC Value]:[Amd Value]])</f>
        <v>59315</v>
      </c>
      <c r="K436" s="36">
        <v>3.55</v>
      </c>
      <c r="L436" s="37">
        <v>6450</v>
      </c>
      <c r="M436" s="33" t="s">
        <v>1131</v>
      </c>
      <c r="N436" s="33" t="s">
        <v>1332</v>
      </c>
      <c r="O436" s="38" t="str">
        <f>IFERROR(_xlfn.XLOOKUP(C436, Data!$A$2:$A$236, Data!$C$2:$C$236), "")</f>
        <v>Mr. Reza Sir</v>
      </c>
    </row>
    <row r="437" spans="1:15" ht="42" customHeight="1" x14ac:dyDescent="0.35">
      <c r="A437" s="41">
        <f t="shared" si="2"/>
        <v>332</v>
      </c>
      <c r="B437" s="30" t="s">
        <v>1569</v>
      </c>
      <c r="C437" s="39" t="s">
        <v>196</v>
      </c>
      <c r="D437" s="29" t="s">
        <v>98</v>
      </c>
      <c r="E437" s="32" t="s">
        <v>1570</v>
      </c>
      <c r="F437" s="33" t="s">
        <v>440</v>
      </c>
      <c r="G437" s="40">
        <v>46111</v>
      </c>
      <c r="H437" s="35">
        <v>6900</v>
      </c>
      <c r="I437" s="36"/>
      <c r="J437" s="35">
        <f>SUM(Table1[[#This Row],[LC Value]:[Amd Value]])</f>
        <v>6900</v>
      </c>
      <c r="K437" s="36">
        <v>3.45</v>
      </c>
      <c r="L437" s="37">
        <v>2000</v>
      </c>
      <c r="M437" s="33" t="s">
        <v>1256</v>
      </c>
      <c r="N437" s="33" t="s">
        <v>1571</v>
      </c>
      <c r="O437" s="38" t="str">
        <f>IFERROR(_xlfn.XLOOKUP(C437, Data!$A$2:$A$236, Data!$C$2:$C$236), "")</f>
        <v>Mr. Reza Sir</v>
      </c>
    </row>
    <row r="438" spans="1:15" ht="42" customHeight="1" x14ac:dyDescent="0.35">
      <c r="A438" s="41">
        <f t="shared" si="2"/>
        <v>331</v>
      </c>
      <c r="B438" s="30" t="s">
        <v>1567</v>
      </c>
      <c r="C438" s="39" t="s">
        <v>38</v>
      </c>
      <c r="D438" s="29" t="s">
        <v>189</v>
      </c>
      <c r="E438" s="32" t="s">
        <v>1568</v>
      </c>
      <c r="F438" s="33" t="s">
        <v>452</v>
      </c>
      <c r="G438" s="40">
        <v>46109</v>
      </c>
      <c r="H438" s="35">
        <v>26325</v>
      </c>
      <c r="I438" s="36"/>
      <c r="J438" s="35">
        <f>SUM(Table1[[#This Row],[LC Value]:[Amd Value]])</f>
        <v>26325</v>
      </c>
      <c r="K438" s="36">
        <v>3.25</v>
      </c>
      <c r="L438" s="37">
        <v>8100</v>
      </c>
      <c r="M438" s="33" t="s">
        <v>1566</v>
      </c>
      <c r="N438" s="33" t="s">
        <v>1565</v>
      </c>
      <c r="O438" s="38" t="str">
        <f>IFERROR(_xlfn.XLOOKUP(C438, Data!$A$2:$A$236, Data!$C$2:$C$236), "")</f>
        <v>Mr. Sohel Sir</v>
      </c>
    </row>
    <row r="439" spans="1:15" ht="42" customHeight="1" x14ac:dyDescent="0.35">
      <c r="A439" s="41">
        <f t="shared" si="2"/>
        <v>330</v>
      </c>
      <c r="B439" s="30" t="s">
        <v>1563</v>
      </c>
      <c r="C439" s="39" t="s">
        <v>169</v>
      </c>
      <c r="D439" s="29" t="s">
        <v>21</v>
      </c>
      <c r="E439" s="32" t="s">
        <v>1564</v>
      </c>
      <c r="F439" s="33" t="s">
        <v>452</v>
      </c>
      <c r="G439" s="40">
        <v>46111</v>
      </c>
      <c r="H439" s="35">
        <v>19250</v>
      </c>
      <c r="I439" s="36"/>
      <c r="J439" s="35">
        <f>SUM(Table1[[#This Row],[LC Value]:[Amd Value]])</f>
        <v>19250</v>
      </c>
      <c r="K439" s="36">
        <v>3.85</v>
      </c>
      <c r="L439" s="37">
        <v>5000</v>
      </c>
      <c r="M439" s="33" t="s">
        <v>1566</v>
      </c>
      <c r="N439" s="33" t="s">
        <v>1565</v>
      </c>
      <c r="O439" s="38" t="str">
        <f>IFERROR(_xlfn.XLOOKUP(C439, Data!$A$2:$A$236, Data!$C$2:$C$236), "")</f>
        <v>Mr. Lipu Sir</v>
      </c>
    </row>
    <row r="440" spans="1:15" ht="42" customHeight="1" x14ac:dyDescent="0.35">
      <c r="A440" s="41">
        <f t="shared" si="2"/>
        <v>329</v>
      </c>
      <c r="B440" s="30" t="s">
        <v>1557</v>
      </c>
      <c r="C440" s="39" t="s">
        <v>1562</v>
      </c>
      <c r="D440" s="29" t="s">
        <v>183</v>
      </c>
      <c r="E440" s="32" t="s">
        <v>1558</v>
      </c>
      <c r="F440" s="33" t="s">
        <v>452</v>
      </c>
      <c r="G440" s="40">
        <v>46111</v>
      </c>
      <c r="H440" s="35">
        <f>76000+47925</f>
        <v>123925</v>
      </c>
      <c r="I440" s="36"/>
      <c r="J440" s="35">
        <f>SUM(Table1[[#This Row],[LC Value]:[Amd Value]])</f>
        <v>123925</v>
      </c>
      <c r="K440" s="36">
        <v>3.8</v>
      </c>
      <c r="L440" s="37">
        <v>33500</v>
      </c>
      <c r="M440" s="33" t="s">
        <v>1561</v>
      </c>
      <c r="N440" s="33" t="s">
        <v>1560</v>
      </c>
      <c r="O440" s="38" t="str">
        <f>IFERROR(_xlfn.XLOOKUP(C440, Data!$A$2:$A$236, Data!$C$2:$C$236), "")</f>
        <v>Director Sir</v>
      </c>
    </row>
    <row r="441" spans="1:15" ht="42" customHeight="1" x14ac:dyDescent="0.35">
      <c r="A441" s="41">
        <f t="shared" si="2"/>
        <v>328</v>
      </c>
      <c r="B441" s="30" t="s">
        <v>1551</v>
      </c>
      <c r="C441" s="39" t="s">
        <v>200</v>
      </c>
      <c r="D441" s="29" t="s">
        <v>135</v>
      </c>
      <c r="E441" s="32" t="s">
        <v>1552</v>
      </c>
      <c r="F441" s="33" t="s">
        <v>452</v>
      </c>
      <c r="G441" s="40">
        <v>46111</v>
      </c>
      <c r="H441" s="35">
        <v>36985</v>
      </c>
      <c r="I441" s="36"/>
      <c r="J441" s="35">
        <f>SUM(Table1[[#This Row],[LC Value]:[Amd Value]])</f>
        <v>36985</v>
      </c>
      <c r="K441" s="36">
        <v>3.75</v>
      </c>
      <c r="L441" s="37">
        <v>9250</v>
      </c>
      <c r="M441" s="33" t="s">
        <v>1094</v>
      </c>
      <c r="N441" s="33" t="s">
        <v>1095</v>
      </c>
      <c r="O441" s="38" t="str">
        <f>IFERROR(_xlfn.XLOOKUP(C441, Data!$A$2:$A$236, Data!$C$2:$C$236), "")</f>
        <v>MD. Sir</v>
      </c>
    </row>
    <row r="442" spans="1:15" ht="42" customHeight="1" x14ac:dyDescent="0.35">
      <c r="A442" s="41">
        <f t="shared" si="2"/>
        <v>327</v>
      </c>
      <c r="B442" s="30" t="s">
        <v>1549</v>
      </c>
      <c r="C442" s="39" t="s">
        <v>200</v>
      </c>
      <c r="D442" s="29" t="s">
        <v>135</v>
      </c>
      <c r="E442" s="32" t="s">
        <v>1550</v>
      </c>
      <c r="F442" s="33" t="s">
        <v>452</v>
      </c>
      <c r="G442" s="40">
        <v>46111</v>
      </c>
      <c r="H442" s="35">
        <v>116687.5</v>
      </c>
      <c r="I442" s="36"/>
      <c r="J442" s="35">
        <f>SUM(Table1[[#This Row],[LC Value]:[Amd Value]])</f>
        <v>116687.5</v>
      </c>
      <c r="K442" s="36">
        <v>4.45</v>
      </c>
      <c r="L442" s="37">
        <v>26850</v>
      </c>
      <c r="M442" s="33" t="s">
        <v>1094</v>
      </c>
      <c r="N442" s="33" t="s">
        <v>1095</v>
      </c>
      <c r="O442" s="38" t="str">
        <f>IFERROR(_xlfn.XLOOKUP(C442, Data!$A$2:$A$236, Data!$C$2:$C$236), "")</f>
        <v>MD. Sir</v>
      </c>
    </row>
    <row r="443" spans="1:15" ht="42" customHeight="1" x14ac:dyDescent="0.35">
      <c r="A443" s="41">
        <f t="shared" si="2"/>
        <v>326</v>
      </c>
      <c r="B443" s="30" t="s">
        <v>1547</v>
      </c>
      <c r="C443" s="39" t="s">
        <v>200</v>
      </c>
      <c r="D443" s="29" t="s">
        <v>98</v>
      </c>
      <c r="E443" s="32" t="s">
        <v>1548</v>
      </c>
      <c r="F443" s="33" t="s">
        <v>452</v>
      </c>
      <c r="G443" s="40">
        <v>46109</v>
      </c>
      <c r="H443" s="35">
        <v>11137.5</v>
      </c>
      <c r="I443" s="36"/>
      <c r="J443" s="35">
        <f>SUM(Table1[[#This Row],[LC Value]:[Amd Value]])</f>
        <v>11137.5</v>
      </c>
      <c r="K443" s="36">
        <v>4.95</v>
      </c>
      <c r="L443" s="37">
        <v>2250</v>
      </c>
      <c r="M443" s="33" t="s">
        <v>1094</v>
      </c>
      <c r="N443" s="33" t="s">
        <v>1095</v>
      </c>
      <c r="O443" s="38" t="str">
        <f>IFERROR(_xlfn.XLOOKUP(C443, Data!$A$2:$A$236, Data!$C$2:$C$236), "")</f>
        <v>MD. Sir</v>
      </c>
    </row>
    <row r="444" spans="1:15" ht="42" customHeight="1" x14ac:dyDescent="0.35">
      <c r="A444" s="41">
        <f t="shared" si="2"/>
        <v>325</v>
      </c>
      <c r="B444" s="30" t="s">
        <v>1545</v>
      </c>
      <c r="C444" s="39" t="s">
        <v>201</v>
      </c>
      <c r="D444" s="29" t="s">
        <v>95</v>
      </c>
      <c r="E444" s="32" t="s">
        <v>1546</v>
      </c>
      <c r="F444" s="33" t="s">
        <v>452</v>
      </c>
      <c r="G444" s="40">
        <v>46110</v>
      </c>
      <c r="H444" s="35">
        <v>170000</v>
      </c>
      <c r="I444" s="36"/>
      <c r="J444" s="35">
        <f>SUM(Table1[[#This Row],[LC Value]:[Amd Value]])</f>
        <v>170000</v>
      </c>
      <c r="K444" s="36">
        <v>3.4</v>
      </c>
      <c r="L444" s="37">
        <v>50000</v>
      </c>
      <c r="M444" s="33" t="s">
        <v>1346</v>
      </c>
      <c r="N444" s="33" t="s">
        <v>1172</v>
      </c>
      <c r="O444" s="38" t="str">
        <f>IFERROR(_xlfn.XLOOKUP(C444, Data!$A$2:$A$236, Data!$C$2:$C$236), "")</f>
        <v>Director Sir</v>
      </c>
    </row>
    <row r="445" spans="1:15" ht="42" customHeight="1" x14ac:dyDescent="0.35">
      <c r="A445" s="41">
        <f t="shared" si="2"/>
        <v>324</v>
      </c>
      <c r="B445" s="30" t="s">
        <v>1543</v>
      </c>
      <c r="C445" s="39" t="s">
        <v>199</v>
      </c>
      <c r="D445" s="29" t="s">
        <v>32</v>
      </c>
      <c r="E445" s="32" t="s">
        <v>1544</v>
      </c>
      <c r="F445" s="33" t="s">
        <v>452</v>
      </c>
      <c r="G445" s="40">
        <v>46109</v>
      </c>
      <c r="H445" s="35">
        <v>42892.5</v>
      </c>
      <c r="I445" s="36"/>
      <c r="J445" s="35">
        <f>SUM(Table1[[#This Row],[LC Value]:[Amd Value]])</f>
        <v>42892.5</v>
      </c>
      <c r="K445" s="36">
        <v>3.1</v>
      </c>
      <c r="L445" s="37">
        <v>14250</v>
      </c>
      <c r="M445" s="33" t="s">
        <v>1172</v>
      </c>
      <c r="N445" s="33" t="s">
        <v>1485</v>
      </c>
      <c r="O445" s="38" t="str">
        <f>IFERROR(_xlfn.XLOOKUP(C445, Data!$A$2:$A$236, Data!$C$2:$C$236), "")</f>
        <v>MD. Sir</v>
      </c>
    </row>
    <row r="446" spans="1:15" ht="42" customHeight="1" x14ac:dyDescent="0.35">
      <c r="A446" s="41">
        <f t="shared" si="2"/>
        <v>323</v>
      </c>
      <c r="B446" s="30" t="s">
        <v>1539</v>
      </c>
      <c r="C446" s="39" t="s">
        <v>64</v>
      </c>
      <c r="D446" s="29" t="s">
        <v>43</v>
      </c>
      <c r="E446" s="32" t="s">
        <v>1540</v>
      </c>
      <c r="F446" s="33" t="s">
        <v>457</v>
      </c>
      <c r="G446" s="40">
        <v>46110</v>
      </c>
      <c r="H446" s="35">
        <v>64165</v>
      </c>
      <c r="I446" s="36"/>
      <c r="J446" s="35">
        <f>SUM(Table1[[#This Row],[LC Value]:[Amd Value]])</f>
        <v>64165</v>
      </c>
      <c r="K446" s="36">
        <v>3.4</v>
      </c>
      <c r="L446" s="37">
        <v>18100</v>
      </c>
      <c r="M446" s="33" t="s">
        <v>1172</v>
      </c>
      <c r="N446" s="33" t="s">
        <v>1485</v>
      </c>
      <c r="O446" s="38" t="str">
        <f>IFERROR(_xlfn.XLOOKUP(C446, Data!$A$2:$A$236, Data!$C$2:$C$236), "")</f>
        <v>Mr. Reza Sir</v>
      </c>
    </row>
    <row r="447" spans="1:15" ht="42" customHeight="1" x14ac:dyDescent="0.35">
      <c r="A447" s="41">
        <f t="shared" si="2"/>
        <v>322</v>
      </c>
      <c r="B447" s="30" t="s">
        <v>1537</v>
      </c>
      <c r="C447" s="39" t="s">
        <v>90</v>
      </c>
      <c r="D447" s="29" t="s">
        <v>21</v>
      </c>
      <c r="E447" s="32" t="s">
        <v>1538</v>
      </c>
      <c r="F447" s="33" t="s">
        <v>457</v>
      </c>
      <c r="G447" s="40">
        <v>46096</v>
      </c>
      <c r="H447" s="35">
        <v>18270</v>
      </c>
      <c r="I447" s="36"/>
      <c r="J447" s="35">
        <f>SUM(Table1[[#This Row],[LC Value]:[Amd Value]])</f>
        <v>18270</v>
      </c>
      <c r="K447" s="36">
        <v>3.2</v>
      </c>
      <c r="L447" s="37">
        <v>5650</v>
      </c>
      <c r="M447" s="33" t="s">
        <v>1010</v>
      </c>
      <c r="N447" s="33" t="s">
        <v>1172</v>
      </c>
      <c r="O447" s="38" t="str">
        <f>IFERROR(_xlfn.XLOOKUP(C447, Data!$A$2:$A$236, Data!$C$2:$C$236), "")</f>
        <v>Mr. Wadud Sir</v>
      </c>
    </row>
    <row r="448" spans="1:15" ht="42" customHeight="1" x14ac:dyDescent="0.35">
      <c r="A448" s="41">
        <f t="shared" si="2"/>
        <v>321</v>
      </c>
      <c r="B448" s="30" t="s">
        <v>1535</v>
      </c>
      <c r="C448" s="39" t="s">
        <v>201</v>
      </c>
      <c r="D448" s="29" t="s">
        <v>21</v>
      </c>
      <c r="E448" s="32" t="s">
        <v>1536</v>
      </c>
      <c r="F448" s="33" t="s">
        <v>627</v>
      </c>
      <c r="G448" s="40">
        <v>46109</v>
      </c>
      <c r="H448" s="35">
        <v>32800</v>
      </c>
      <c r="I448" s="36"/>
      <c r="J448" s="35">
        <f>SUM(Table1[[#This Row],[LC Value]:[Amd Value]])</f>
        <v>32800</v>
      </c>
      <c r="K448" s="36">
        <v>3.2</v>
      </c>
      <c r="L448" s="37">
        <v>25000</v>
      </c>
      <c r="M448" s="33" t="s">
        <v>955</v>
      </c>
      <c r="N448" s="33" t="s">
        <v>1131</v>
      </c>
      <c r="O448" s="38" t="str">
        <f>IFERROR(_xlfn.XLOOKUP(C448, Data!$A$2:$A$236, Data!$C$2:$C$236), "")</f>
        <v>Director Sir</v>
      </c>
    </row>
    <row r="449" spans="1:15" ht="42" customHeight="1" x14ac:dyDescent="0.35">
      <c r="A449" s="41">
        <f t="shared" si="2"/>
        <v>320</v>
      </c>
      <c r="B449" s="30" t="s">
        <v>1533</v>
      </c>
      <c r="C449" s="39" t="s">
        <v>201</v>
      </c>
      <c r="D449" s="29" t="s">
        <v>21</v>
      </c>
      <c r="E449" s="32" t="s">
        <v>1534</v>
      </c>
      <c r="F449" s="33" t="s">
        <v>627</v>
      </c>
      <c r="G449" s="40">
        <v>46097</v>
      </c>
      <c r="H449" s="35">
        <v>80000</v>
      </c>
      <c r="I449" s="36"/>
      <c r="J449" s="35">
        <f>SUM(Table1[[#This Row],[LC Value]:[Amd Value]])</f>
        <v>80000</v>
      </c>
      <c r="K449" s="36">
        <v>3.2</v>
      </c>
      <c r="L449" s="37">
        <v>25000</v>
      </c>
      <c r="M449" s="33" t="s">
        <v>955</v>
      </c>
      <c r="N449" s="33" t="s">
        <v>1131</v>
      </c>
      <c r="O449" s="38" t="str">
        <f>IFERROR(_xlfn.XLOOKUP(C449, Data!$A$2:$A$236, Data!$C$2:$C$236), "")</f>
        <v>Director Sir</v>
      </c>
    </row>
    <row r="450" spans="1:15" ht="42" customHeight="1" x14ac:dyDescent="0.35">
      <c r="A450" s="41">
        <f t="shared" si="2"/>
        <v>319</v>
      </c>
      <c r="B450" s="30" t="s">
        <v>1531</v>
      </c>
      <c r="C450" s="39" t="s">
        <v>150</v>
      </c>
      <c r="D450" s="29" t="s">
        <v>95</v>
      </c>
      <c r="E450" s="32" t="s">
        <v>1532</v>
      </c>
      <c r="F450" s="33" t="s">
        <v>627</v>
      </c>
      <c r="G450" s="40">
        <v>46109</v>
      </c>
      <c r="H450" s="35">
        <v>8888.5</v>
      </c>
      <c r="I450" s="36"/>
      <c r="J450" s="35">
        <f>SUM(Table1[[#This Row],[LC Value]:[Amd Value]])</f>
        <v>8888.5</v>
      </c>
      <c r="K450" s="36">
        <v>3.15</v>
      </c>
      <c r="L450" s="37">
        <v>2550</v>
      </c>
      <c r="M450" s="33" t="s">
        <v>843</v>
      </c>
      <c r="N450" s="33" t="s">
        <v>1010</v>
      </c>
      <c r="O450" s="38" t="str">
        <f>IFERROR(_xlfn.XLOOKUP(C450, Data!$A$2:$A$236, Data!$C$2:$C$236), "")</f>
        <v>Mr. Sohel Sir</v>
      </c>
    </row>
    <row r="451" spans="1:15" ht="42" customHeight="1" x14ac:dyDescent="0.35">
      <c r="A451" s="41">
        <f t="shared" si="2"/>
        <v>318</v>
      </c>
      <c r="B451" s="30" t="s">
        <v>1523</v>
      </c>
      <c r="C451" s="39" t="s">
        <v>220</v>
      </c>
      <c r="D451" s="29" t="s">
        <v>1461</v>
      </c>
      <c r="E451" s="32" t="s">
        <v>1522</v>
      </c>
      <c r="F451" s="33" t="s">
        <v>627</v>
      </c>
      <c r="G451" s="40">
        <v>46109</v>
      </c>
      <c r="H451" s="35">
        <v>30082.5</v>
      </c>
      <c r="I451" s="36"/>
      <c r="J451" s="35">
        <f>SUM(Table1[[#This Row],[LC Value]:[Amd Value]])</f>
        <v>30082.5</v>
      </c>
      <c r="K451" s="36">
        <v>3.15</v>
      </c>
      <c r="L451" s="37">
        <v>9550</v>
      </c>
      <c r="M451" s="33" t="s">
        <v>843</v>
      </c>
      <c r="N451" s="33" t="s">
        <v>1010</v>
      </c>
      <c r="O451" s="38" t="str">
        <f>IFERROR(_xlfn.XLOOKUP(C451, Data!$A$2:$A$236, Data!$C$2:$C$236), "")</f>
        <v>Mr. Reza Sir</v>
      </c>
    </row>
    <row r="452" spans="1:15" ht="42" customHeight="1" x14ac:dyDescent="0.35">
      <c r="A452" s="41">
        <f t="shared" si="2"/>
        <v>317</v>
      </c>
      <c r="B452" s="30" t="s">
        <v>1518</v>
      </c>
      <c r="C452" s="39" t="s">
        <v>220</v>
      </c>
      <c r="D452" s="29" t="s">
        <v>79</v>
      </c>
      <c r="E452" s="32" t="s">
        <v>1519</v>
      </c>
      <c r="F452" s="33" t="s">
        <v>627</v>
      </c>
      <c r="G452" s="40">
        <v>46112</v>
      </c>
      <c r="H452" s="35">
        <v>9602.5</v>
      </c>
      <c r="I452" s="36"/>
      <c r="J452" s="35">
        <f>SUM(Table1[[#This Row],[LC Value]:[Amd Value]])</f>
        <v>9602.5</v>
      </c>
      <c r="K452" s="36">
        <v>3.75</v>
      </c>
      <c r="L452" s="37">
        <v>60000</v>
      </c>
      <c r="M452" s="33" t="s">
        <v>843</v>
      </c>
      <c r="N452" s="33" t="s">
        <v>1010</v>
      </c>
      <c r="O452" s="38" t="str">
        <f>IFERROR(_xlfn.XLOOKUP(C452, Data!$A$2:$A$236, Data!$C$2:$C$236), "")</f>
        <v>Mr. Reza Sir</v>
      </c>
    </row>
    <row r="453" spans="1:15" ht="42" customHeight="1" x14ac:dyDescent="0.35">
      <c r="A453" s="41">
        <f t="shared" si="2"/>
        <v>316</v>
      </c>
      <c r="B453" s="30" t="s">
        <v>1516</v>
      </c>
      <c r="C453" s="39" t="s">
        <v>174</v>
      </c>
      <c r="D453" s="29" t="s">
        <v>2691</v>
      </c>
      <c r="E453" s="32" t="s">
        <v>1517</v>
      </c>
      <c r="F453" s="33" t="s">
        <v>627</v>
      </c>
      <c r="G453" s="40">
        <v>46110</v>
      </c>
      <c r="H453" s="35">
        <f>150000+76000</f>
        <v>226000</v>
      </c>
      <c r="I453" s="36"/>
      <c r="J453" s="35">
        <f>SUM(Table1[[#This Row],[LC Value]:[Amd Value]])</f>
        <v>226000</v>
      </c>
      <c r="K453" s="36">
        <v>3.75</v>
      </c>
      <c r="L453" s="37">
        <v>60000</v>
      </c>
      <c r="M453" s="33" t="s">
        <v>843</v>
      </c>
      <c r="N453" s="33" t="s">
        <v>1010</v>
      </c>
      <c r="O453" s="38" t="str">
        <f>IFERROR(_xlfn.XLOOKUP(C453, Data!$A$2:$A$236, Data!$C$2:$C$236), "")</f>
        <v>Mr. Reza Sir</v>
      </c>
    </row>
    <row r="454" spans="1:15" ht="42" customHeight="1" x14ac:dyDescent="0.35">
      <c r="A454" s="41">
        <f t="shared" si="2"/>
        <v>315</v>
      </c>
      <c r="B454" s="30" t="s">
        <v>1514</v>
      </c>
      <c r="C454" s="39" t="s">
        <v>97</v>
      </c>
      <c r="D454" s="29" t="s">
        <v>280</v>
      </c>
      <c r="E454" s="32" t="s">
        <v>1515</v>
      </c>
      <c r="F454" s="33" t="s">
        <v>627</v>
      </c>
      <c r="G454" s="40">
        <v>46110</v>
      </c>
      <c r="H454" s="35">
        <v>36580</v>
      </c>
      <c r="I454" s="36"/>
      <c r="J454" s="35">
        <f>SUM(Table1[[#This Row],[LC Value]:[Amd Value]])</f>
        <v>36580</v>
      </c>
      <c r="K454" s="36">
        <v>3</v>
      </c>
      <c r="L454" s="37">
        <v>11800</v>
      </c>
      <c r="M454" s="33" t="s">
        <v>1172</v>
      </c>
      <c r="N454" s="33" t="s">
        <v>1485</v>
      </c>
      <c r="O454" s="38" t="str">
        <f>IFERROR(_xlfn.XLOOKUP(C454, Data!$A$2:$A$236, Data!$C$2:$C$236), "")</f>
        <v>Mr. Reza Sir</v>
      </c>
    </row>
    <row r="455" spans="1:15" ht="42" customHeight="1" x14ac:dyDescent="0.35">
      <c r="A455" s="41">
        <f t="shared" si="2"/>
        <v>314</v>
      </c>
      <c r="B455" s="30" t="s">
        <v>1510</v>
      </c>
      <c r="C455" s="39" t="s">
        <v>64</v>
      </c>
      <c r="D455" s="29" t="s">
        <v>43</v>
      </c>
      <c r="E455" s="32" t="s">
        <v>1511</v>
      </c>
      <c r="F455" s="33" t="s">
        <v>627</v>
      </c>
      <c r="G455" s="40">
        <v>46112</v>
      </c>
      <c r="H455" s="35">
        <v>7450</v>
      </c>
      <c r="I455" s="36"/>
      <c r="J455" s="35">
        <f>SUM(Table1[[#This Row],[LC Value]:[Amd Value]])</f>
        <v>7450</v>
      </c>
      <c r="K455" s="36">
        <v>3</v>
      </c>
      <c r="L455" s="37">
        <v>2400</v>
      </c>
      <c r="M455" s="33" t="s">
        <v>1172</v>
      </c>
      <c r="N455" s="33" t="s">
        <v>1485</v>
      </c>
      <c r="O455" s="38" t="str">
        <f>IFERROR(_xlfn.XLOOKUP(C455, Data!$A$2:$A$236, Data!$C$2:$C$236), "")</f>
        <v>Mr. Reza Sir</v>
      </c>
    </row>
    <row r="456" spans="1:15" ht="42" customHeight="1" x14ac:dyDescent="0.35">
      <c r="A456" s="41">
        <f t="shared" si="2"/>
        <v>313</v>
      </c>
      <c r="B456" s="30" t="s">
        <v>1508</v>
      </c>
      <c r="C456" s="39" t="s">
        <v>38</v>
      </c>
      <c r="D456" s="29" t="s">
        <v>1461</v>
      </c>
      <c r="E456" s="32" t="s">
        <v>1509</v>
      </c>
      <c r="F456" s="33" t="s">
        <v>457</v>
      </c>
      <c r="G456" s="40">
        <v>46110</v>
      </c>
      <c r="H456" s="35">
        <v>30600</v>
      </c>
      <c r="I456" s="36"/>
      <c r="J456" s="35">
        <f>SUM(Table1[[#This Row],[LC Value]:[Amd Value]])</f>
        <v>30600</v>
      </c>
      <c r="K456" s="36">
        <v>3.4</v>
      </c>
      <c r="L456" s="37">
        <v>9000</v>
      </c>
      <c r="M456" s="33" t="s">
        <v>1172</v>
      </c>
      <c r="N456" s="33" t="s">
        <v>1485</v>
      </c>
      <c r="O456" s="38" t="str">
        <f>IFERROR(_xlfn.XLOOKUP(C456, Data!$A$2:$A$236, Data!$C$2:$C$236), "")</f>
        <v>Mr. Sohel Sir</v>
      </c>
    </row>
    <row r="457" spans="1:15" ht="42" customHeight="1" x14ac:dyDescent="0.35">
      <c r="A457" s="41">
        <f t="shared" si="2"/>
        <v>312</v>
      </c>
      <c r="B457" s="30" t="s">
        <v>1506</v>
      </c>
      <c r="C457" s="39" t="s">
        <v>185</v>
      </c>
      <c r="D457" s="29" t="s">
        <v>115</v>
      </c>
      <c r="E457" s="32" t="s">
        <v>1507</v>
      </c>
      <c r="F457" s="33" t="s">
        <v>457</v>
      </c>
      <c r="G457" s="40">
        <v>46110</v>
      </c>
      <c r="H457" s="35">
        <v>28050</v>
      </c>
      <c r="I457" s="36"/>
      <c r="J457" s="35">
        <f>SUM(Table1[[#This Row],[LC Value]:[Amd Value]])</f>
        <v>28050</v>
      </c>
      <c r="K457" s="36">
        <v>3.3</v>
      </c>
      <c r="L457" s="37">
        <v>8500</v>
      </c>
      <c r="M457" s="33" t="s">
        <v>1172</v>
      </c>
      <c r="N457" s="33" t="s">
        <v>1485</v>
      </c>
      <c r="O457" s="38" t="str">
        <f>IFERROR(_xlfn.XLOOKUP(C457, Data!$A$2:$A$236, Data!$C$2:$C$236), "")</f>
        <v>Director Sir</v>
      </c>
    </row>
    <row r="458" spans="1:15" ht="42" customHeight="1" x14ac:dyDescent="0.35">
      <c r="A458" s="41">
        <f t="shared" si="2"/>
        <v>311</v>
      </c>
      <c r="B458" s="30" t="s">
        <v>1498</v>
      </c>
      <c r="C458" s="39" t="s">
        <v>245</v>
      </c>
      <c r="D458" s="29" t="s">
        <v>135</v>
      </c>
      <c r="E458" s="32" t="s">
        <v>1499</v>
      </c>
      <c r="F458" s="33" t="s">
        <v>457</v>
      </c>
      <c r="G458" s="40">
        <v>46096</v>
      </c>
      <c r="H458" s="35">
        <v>15420</v>
      </c>
      <c r="I458" s="36"/>
      <c r="J458" s="35">
        <f>SUM(Table1[[#This Row],[LC Value]:[Amd Value]])</f>
        <v>15420</v>
      </c>
      <c r="K458" s="36">
        <v>3</v>
      </c>
      <c r="L458" s="37">
        <v>4950</v>
      </c>
      <c r="M458" s="33" t="s">
        <v>1172</v>
      </c>
      <c r="N458" s="33" t="s">
        <v>1485</v>
      </c>
      <c r="O458" s="38" t="str">
        <f>IFERROR(_xlfn.XLOOKUP(C458, Data!$A$2:$A$236, Data!$C$2:$C$236), "")</f>
        <v>Mr. Reza Sir</v>
      </c>
    </row>
    <row r="459" spans="1:15" ht="42" customHeight="1" x14ac:dyDescent="0.35">
      <c r="A459" s="41">
        <f t="shared" si="2"/>
        <v>310</v>
      </c>
      <c r="B459" s="30" t="s">
        <v>1495</v>
      </c>
      <c r="C459" s="39" t="s">
        <v>199</v>
      </c>
      <c r="D459" s="29" t="s">
        <v>98</v>
      </c>
      <c r="E459" s="32" t="s">
        <v>1496</v>
      </c>
      <c r="F459" s="33" t="s">
        <v>457</v>
      </c>
      <c r="G459" s="40">
        <v>46109</v>
      </c>
      <c r="H459" s="35">
        <v>29122.5</v>
      </c>
      <c r="I459" s="36"/>
      <c r="J459" s="35">
        <f>SUM(Table1[[#This Row],[LC Value]:[Amd Value]])</f>
        <v>29122.5</v>
      </c>
      <c r="K459" s="36">
        <v>3.5</v>
      </c>
      <c r="L459" s="37">
        <v>8250</v>
      </c>
      <c r="M459" s="33" t="s">
        <v>1131</v>
      </c>
      <c r="N459" s="33" t="s">
        <v>1332</v>
      </c>
      <c r="O459" s="38" t="str">
        <f>IFERROR(_xlfn.XLOOKUP(C459, Data!$A$2:$A$236, Data!$C$2:$C$236), "")</f>
        <v>MD. Sir</v>
      </c>
    </row>
    <row r="460" spans="1:15" ht="42" customHeight="1" x14ac:dyDescent="0.35">
      <c r="A460" s="41">
        <f t="shared" si="2"/>
        <v>309</v>
      </c>
      <c r="B460" s="30" t="s">
        <v>1493</v>
      </c>
      <c r="C460" s="39" t="s">
        <v>1097</v>
      </c>
      <c r="D460" s="29" t="s">
        <v>273</v>
      </c>
      <c r="E460" s="32" t="s">
        <v>1494</v>
      </c>
      <c r="F460" s="33" t="s">
        <v>457</v>
      </c>
      <c r="G460" s="40">
        <v>46111</v>
      </c>
      <c r="H460" s="35">
        <v>50447.5</v>
      </c>
      <c r="I460" s="36"/>
      <c r="J460" s="35">
        <f>SUM(Table1[[#This Row],[LC Value]:[Amd Value]])</f>
        <v>50447.5</v>
      </c>
      <c r="K460" s="36">
        <v>3.1</v>
      </c>
      <c r="L460" s="37">
        <v>15700</v>
      </c>
      <c r="M460" s="33" t="s">
        <v>956</v>
      </c>
      <c r="N460" s="33" t="s">
        <v>1346</v>
      </c>
      <c r="O460" s="38" t="str">
        <f>IFERROR(_xlfn.XLOOKUP(C460, Data!$A$2:$A$236, Data!$C$2:$C$236), "")</f>
        <v>Mr. Wadud Sir</v>
      </c>
    </row>
    <row r="461" spans="1:15" ht="42" customHeight="1" x14ac:dyDescent="0.35">
      <c r="A461" s="41">
        <f t="shared" si="2"/>
        <v>308</v>
      </c>
      <c r="B461" s="30" t="s">
        <v>1492</v>
      </c>
      <c r="C461" s="39" t="s">
        <v>97</v>
      </c>
      <c r="D461" s="29" t="s">
        <v>98</v>
      </c>
      <c r="E461" s="32" t="s">
        <v>1597</v>
      </c>
      <c r="F461" s="33" t="s">
        <v>457</v>
      </c>
      <c r="G461" s="40">
        <v>46109</v>
      </c>
      <c r="H461" s="35">
        <v>44620</v>
      </c>
      <c r="I461" s="36">
        <v>1975</v>
      </c>
      <c r="J461" s="35">
        <f>SUM(Table1[[#This Row],[LC Value]:[Amd Value]])</f>
        <v>46595</v>
      </c>
      <c r="K461" s="36">
        <v>3.65</v>
      </c>
      <c r="L461" s="37">
        <v>12000</v>
      </c>
      <c r="M461" s="33" t="s">
        <v>956</v>
      </c>
      <c r="N461" s="33" t="s">
        <v>1346</v>
      </c>
      <c r="O461" s="38" t="str">
        <f>IFERROR(_xlfn.XLOOKUP(C461, Data!$A$2:$A$236, Data!$C$2:$C$236), "")</f>
        <v>Mr. Reza Sir</v>
      </c>
    </row>
    <row r="462" spans="1:15" ht="42" customHeight="1" x14ac:dyDescent="0.35">
      <c r="A462" s="41">
        <f t="shared" si="2"/>
        <v>307</v>
      </c>
      <c r="B462" s="30" t="s">
        <v>1490</v>
      </c>
      <c r="C462" s="39" t="s">
        <v>200</v>
      </c>
      <c r="D462" s="29" t="s">
        <v>98</v>
      </c>
      <c r="E462" s="32" t="s">
        <v>1491</v>
      </c>
      <c r="F462" s="33" t="s">
        <v>457</v>
      </c>
      <c r="G462" s="40">
        <v>46109</v>
      </c>
      <c r="H462" s="35">
        <v>14820</v>
      </c>
      <c r="I462" s="36"/>
      <c r="J462" s="35">
        <f>SUM(Table1[[#This Row],[LC Value]:[Amd Value]])</f>
        <v>14820</v>
      </c>
      <c r="K462" s="36">
        <v>3.9</v>
      </c>
      <c r="L462" s="37">
        <v>3800</v>
      </c>
      <c r="M462" s="33" t="s">
        <v>956</v>
      </c>
      <c r="N462" s="33" t="s">
        <v>955</v>
      </c>
      <c r="O462" s="38" t="str">
        <f>IFERROR(_xlfn.XLOOKUP(C462, Data!$A$2:$A$236, Data!$C$2:$C$236), "")</f>
        <v>MD. Sir</v>
      </c>
    </row>
    <row r="463" spans="1:15" ht="42" customHeight="1" x14ac:dyDescent="0.35">
      <c r="A463" s="41">
        <f t="shared" si="2"/>
        <v>306</v>
      </c>
      <c r="B463" s="30" t="s">
        <v>1486</v>
      </c>
      <c r="C463" s="39" t="s">
        <v>212</v>
      </c>
      <c r="D463" s="29" t="s">
        <v>1487</v>
      </c>
      <c r="E463" s="32" t="s">
        <v>1488</v>
      </c>
      <c r="F463" s="33" t="s">
        <v>457</v>
      </c>
      <c r="G463" s="40">
        <v>46096</v>
      </c>
      <c r="H463" s="35">
        <v>6520</v>
      </c>
      <c r="I463" s="36">
        <v>8145</v>
      </c>
      <c r="J463" s="35">
        <f>SUM(Table1[[#This Row],[LC Value]:[Amd Value]])</f>
        <v>14665</v>
      </c>
      <c r="K463" s="36">
        <v>2.9</v>
      </c>
      <c r="L463" s="37">
        <v>2000</v>
      </c>
      <c r="M463" s="33" t="s">
        <v>1172</v>
      </c>
      <c r="N463" s="33" t="s">
        <v>1485</v>
      </c>
      <c r="O463" s="38" t="str">
        <f>IFERROR(_xlfn.XLOOKUP(C463, Data!$A$2:$A$236, Data!$C$2:$C$236), "")</f>
        <v>Mr. Reza Sir</v>
      </c>
    </row>
    <row r="464" spans="1:15" ht="42" customHeight="1" x14ac:dyDescent="0.35">
      <c r="A464" s="41">
        <f t="shared" si="2"/>
        <v>305</v>
      </c>
      <c r="B464" s="30" t="s">
        <v>1483</v>
      </c>
      <c r="C464" s="39" t="s">
        <v>64</v>
      </c>
      <c r="D464" s="29" t="s">
        <v>21</v>
      </c>
      <c r="E464" s="32" t="s">
        <v>1484</v>
      </c>
      <c r="F464" s="33" t="s">
        <v>457</v>
      </c>
      <c r="G464" s="40">
        <v>46096</v>
      </c>
      <c r="H464" s="35">
        <v>154000</v>
      </c>
      <c r="I464" s="36"/>
      <c r="J464" s="35">
        <f>SUM(Table1[[#This Row],[LC Value]:[Amd Value]])</f>
        <v>154000</v>
      </c>
      <c r="K464" s="36">
        <v>3.08</v>
      </c>
      <c r="L464" s="37">
        <v>50000</v>
      </c>
      <c r="M464" s="33" t="s">
        <v>1172</v>
      </c>
      <c r="N464" s="33" t="s">
        <v>1485</v>
      </c>
      <c r="O464" s="38" t="str">
        <f>IFERROR(_xlfn.XLOOKUP(C464, Data!$A$2:$A$236, Data!$C$2:$C$236), "")</f>
        <v>Mr. Reza Sir</v>
      </c>
    </row>
    <row r="465" spans="1:15" ht="42" customHeight="1" x14ac:dyDescent="0.35">
      <c r="A465" s="41">
        <f t="shared" si="2"/>
        <v>304</v>
      </c>
      <c r="B465" s="30" t="s">
        <v>1481</v>
      </c>
      <c r="C465" s="39" t="s">
        <v>174</v>
      </c>
      <c r="D465" s="29" t="s">
        <v>2691</v>
      </c>
      <c r="E465" s="32" t="s">
        <v>1482</v>
      </c>
      <c r="F465" s="33" t="s">
        <v>457</v>
      </c>
      <c r="G465" s="40">
        <v>46112</v>
      </c>
      <c r="H465" s="35">
        <v>13200</v>
      </c>
      <c r="I465" s="36"/>
      <c r="J465" s="35">
        <f>SUM(Table1[[#This Row],[LC Value]:[Amd Value]])</f>
        <v>13200</v>
      </c>
      <c r="K465" s="36">
        <v>4</v>
      </c>
      <c r="L465" s="37">
        <v>3300</v>
      </c>
      <c r="M465" s="33" t="s">
        <v>956</v>
      </c>
      <c r="N465" s="33" t="s">
        <v>955</v>
      </c>
      <c r="O465" s="38" t="str">
        <f>IFERROR(_xlfn.XLOOKUP(C465, Data!$A$2:$A$236, Data!$C$2:$C$236), "")</f>
        <v>Mr. Reza Sir</v>
      </c>
    </row>
    <row r="466" spans="1:15" ht="42" customHeight="1" x14ac:dyDescent="0.35">
      <c r="A466" s="41">
        <f t="shared" si="2"/>
        <v>303</v>
      </c>
      <c r="B466" s="30" t="s">
        <v>1479</v>
      </c>
      <c r="C466" s="39" t="s">
        <v>201</v>
      </c>
      <c r="D466" s="29" t="s">
        <v>95</v>
      </c>
      <c r="E466" s="32" t="s">
        <v>1480</v>
      </c>
      <c r="F466" s="33" t="s">
        <v>457</v>
      </c>
      <c r="G466" s="40">
        <v>46097</v>
      </c>
      <c r="H466" s="35">
        <f>18360+279450</f>
        <v>297810</v>
      </c>
      <c r="I466" s="36"/>
      <c r="J466" s="35">
        <f>SUM(Table1[[#This Row],[LC Value]:[Amd Value]])</f>
        <v>297810</v>
      </c>
      <c r="K466" s="36">
        <v>3.4</v>
      </c>
      <c r="L466" s="37">
        <f>5400+81000</f>
        <v>86400</v>
      </c>
      <c r="M466" s="33" t="s">
        <v>1263</v>
      </c>
      <c r="N466" s="33" t="s">
        <v>1457</v>
      </c>
      <c r="O466" s="38" t="str">
        <f>IFERROR(_xlfn.XLOOKUP(C466, Data!$A$2:$A$236, Data!$C$2:$C$236), "")</f>
        <v>Director Sir</v>
      </c>
    </row>
    <row r="467" spans="1:15" ht="42" customHeight="1" x14ac:dyDescent="0.35">
      <c r="A467" s="41">
        <f t="shared" si="2"/>
        <v>302</v>
      </c>
      <c r="B467" s="30" t="s">
        <v>1477</v>
      </c>
      <c r="C467" s="39" t="s">
        <v>1361</v>
      </c>
      <c r="D467" s="29" t="s">
        <v>61</v>
      </c>
      <c r="E467" s="32" t="s">
        <v>1478</v>
      </c>
      <c r="F467" s="33" t="s">
        <v>416</v>
      </c>
      <c r="G467" s="40">
        <v>46112</v>
      </c>
      <c r="H467" s="35">
        <v>12672.5</v>
      </c>
      <c r="I467" s="36"/>
      <c r="J467" s="35">
        <f>SUM(Table1[[#This Row],[LC Value]:[Amd Value]])</f>
        <v>12672.5</v>
      </c>
      <c r="K467" s="36">
        <v>3.65</v>
      </c>
      <c r="L467" s="37">
        <v>3450</v>
      </c>
      <c r="M467" s="33" t="s">
        <v>618</v>
      </c>
      <c r="N467" s="33" t="s">
        <v>843</v>
      </c>
      <c r="O467" s="38" t="str">
        <f>IFERROR(_xlfn.XLOOKUP(C467, Data!$A$2:$A$236, Data!$C$2:$C$236), "")</f>
        <v>Mr. Reza Sir</v>
      </c>
    </row>
    <row r="468" spans="1:15" ht="42" customHeight="1" x14ac:dyDescent="0.35">
      <c r="A468" s="41">
        <f t="shared" si="2"/>
        <v>301</v>
      </c>
      <c r="B468" s="30" t="s">
        <v>1471</v>
      </c>
      <c r="C468" s="39" t="s">
        <v>199</v>
      </c>
      <c r="D468" s="29" t="s">
        <v>353</v>
      </c>
      <c r="E468" s="32" t="s">
        <v>1472</v>
      </c>
      <c r="F468" s="33" t="s">
        <v>416</v>
      </c>
      <c r="G468" s="40">
        <v>46097</v>
      </c>
      <c r="H468" s="35">
        <v>11615</v>
      </c>
      <c r="I468" s="36"/>
      <c r="J468" s="35">
        <f>SUM(Table1[[#This Row],[LC Value]:[Amd Value]])</f>
        <v>11615</v>
      </c>
      <c r="K468" s="36">
        <v>2.9</v>
      </c>
      <c r="L468" s="37">
        <v>13100</v>
      </c>
      <c r="M468" s="33" t="s">
        <v>1272</v>
      </c>
      <c r="N468" s="33" t="s">
        <v>1390</v>
      </c>
      <c r="O468" s="38" t="str">
        <f>IFERROR(_xlfn.XLOOKUP(C468, Data!$A$2:$A$236, Data!$C$2:$C$236), "")</f>
        <v>MD. Sir</v>
      </c>
    </row>
    <row r="469" spans="1:15" ht="42" customHeight="1" x14ac:dyDescent="0.35">
      <c r="A469" s="41">
        <f t="shared" si="2"/>
        <v>300</v>
      </c>
      <c r="B469" s="110" t="s">
        <v>1458</v>
      </c>
      <c r="C469" s="44" t="s">
        <v>1393</v>
      </c>
      <c r="D469" s="45" t="s">
        <v>1394</v>
      </c>
      <c r="E469" s="46" t="s">
        <v>1459</v>
      </c>
      <c r="F469" s="33" t="s">
        <v>416</v>
      </c>
      <c r="G469" s="40">
        <v>46097</v>
      </c>
      <c r="H469" s="35">
        <f>72500*4</f>
        <v>290000</v>
      </c>
      <c r="I469" s="36"/>
      <c r="J469" s="35">
        <f>SUM(Table1[[#This Row],[LC Value]:[Amd Value]])</f>
        <v>290000</v>
      </c>
      <c r="K469" s="36">
        <v>2.9</v>
      </c>
      <c r="L469" s="37">
        <v>100000</v>
      </c>
      <c r="M469" s="47" t="s">
        <v>1457</v>
      </c>
      <c r="N469" s="47" t="s">
        <v>1398</v>
      </c>
      <c r="O469" s="48" t="str">
        <f>IFERROR(_xlfn.XLOOKUP(C469, Data!$A$2:$A$236, Data!$C$2:$C$236), "")</f>
        <v>Mr. Lipu Sir</v>
      </c>
    </row>
    <row r="470" spans="1:15" ht="42" customHeight="1" x14ac:dyDescent="0.35">
      <c r="A470" s="41">
        <f t="shared" si="2"/>
        <v>299</v>
      </c>
      <c r="B470" s="110" t="s">
        <v>1453</v>
      </c>
      <c r="C470" s="44" t="s">
        <v>1393</v>
      </c>
      <c r="D470" s="45" t="s">
        <v>1454</v>
      </c>
      <c r="E470" s="46" t="s">
        <v>1455</v>
      </c>
      <c r="F470" s="33" t="s">
        <v>416</v>
      </c>
      <c r="G470" s="40">
        <v>46109</v>
      </c>
      <c r="H470" s="35">
        <f>72500*4</f>
        <v>290000</v>
      </c>
      <c r="I470" s="36"/>
      <c r="J470" s="35">
        <f>SUM(Table1[[#This Row],[LC Value]:[Amd Value]])</f>
        <v>290000</v>
      </c>
      <c r="K470" s="36">
        <v>2.9</v>
      </c>
      <c r="L470" s="37">
        <v>100000</v>
      </c>
      <c r="M470" s="47" t="s">
        <v>1457</v>
      </c>
      <c r="N470" s="47" t="s">
        <v>1398</v>
      </c>
      <c r="O470" s="48" t="str">
        <f>IFERROR(_xlfn.XLOOKUP(C470, Data!$A$2:$A$236, Data!$C$2:$C$236), "")</f>
        <v>Mr. Lipu Sir</v>
      </c>
    </row>
    <row r="471" spans="1:15" ht="42" customHeight="1" x14ac:dyDescent="0.35">
      <c r="A471" s="41">
        <f t="shared" si="2"/>
        <v>298</v>
      </c>
      <c r="B471" s="110" t="s">
        <v>1451</v>
      </c>
      <c r="C471" s="44" t="s">
        <v>78</v>
      </c>
      <c r="D471" s="45" t="s">
        <v>98</v>
      </c>
      <c r="E471" s="46" t="s">
        <v>1452</v>
      </c>
      <c r="F471" s="33" t="s">
        <v>416</v>
      </c>
      <c r="G471" s="40">
        <v>46097</v>
      </c>
      <c r="H471" s="35">
        <v>42000</v>
      </c>
      <c r="I471" s="36"/>
      <c r="J471" s="35">
        <f>SUM(Table1[[#This Row],[LC Value]:[Amd Value]])</f>
        <v>42000</v>
      </c>
      <c r="K471" s="36">
        <v>3.55</v>
      </c>
      <c r="L471" s="37">
        <v>11400</v>
      </c>
      <c r="M471" s="47" t="s">
        <v>1272</v>
      </c>
      <c r="N471" s="47" t="s">
        <v>1390</v>
      </c>
      <c r="O471" s="48" t="str">
        <f>IFERROR(_xlfn.XLOOKUP(C471, Data!$A$2:$A$236, Data!$C$2:$C$236), "")</f>
        <v>Mr. Reza Sir</v>
      </c>
    </row>
    <row r="472" spans="1:15" ht="42" customHeight="1" x14ac:dyDescent="0.35">
      <c r="A472" s="41">
        <f t="shared" si="2"/>
        <v>297</v>
      </c>
      <c r="B472" s="110" t="s">
        <v>1449</v>
      </c>
      <c r="C472" s="44" t="s">
        <v>209</v>
      </c>
      <c r="D472" s="45" t="s">
        <v>1168</v>
      </c>
      <c r="E472" s="46" t="s">
        <v>1450</v>
      </c>
      <c r="F472" s="33" t="s">
        <v>718</v>
      </c>
      <c r="G472" s="40">
        <v>46096</v>
      </c>
      <c r="H472" s="35">
        <f>7100+158850+9125</f>
        <v>175075</v>
      </c>
      <c r="I472" s="36">
        <f>25980+18200+9225</f>
        <v>53405</v>
      </c>
      <c r="J472" s="35">
        <f>SUM(Table1[[#This Row],[LC Value]:[Amd Value]])</f>
        <v>228480</v>
      </c>
      <c r="K472" s="36">
        <v>3.55</v>
      </c>
      <c r="L472" s="37">
        <v>52500</v>
      </c>
      <c r="M472" s="47" t="s">
        <v>1272</v>
      </c>
      <c r="N472" s="47" t="s">
        <v>1390</v>
      </c>
      <c r="O472" s="48" t="str">
        <f>IFERROR(_xlfn.XLOOKUP(C472, Data!$A$2:$A$236, Data!$C$2:$C$236), "")</f>
        <v>Director Sir</v>
      </c>
    </row>
    <row r="473" spans="1:15" ht="42" customHeight="1" x14ac:dyDescent="0.35">
      <c r="A473" s="41">
        <f t="shared" si="2"/>
        <v>296</v>
      </c>
      <c r="B473" s="110" t="s">
        <v>1446</v>
      </c>
      <c r="C473" s="44" t="s">
        <v>180</v>
      </c>
      <c r="D473" s="45" t="s">
        <v>181</v>
      </c>
      <c r="E473" s="46" t="s">
        <v>1447</v>
      </c>
      <c r="F473" s="33" t="s">
        <v>718</v>
      </c>
      <c r="G473" s="40">
        <v>46097</v>
      </c>
      <c r="H473" s="35">
        <v>17212.5</v>
      </c>
      <c r="I473" s="36"/>
      <c r="J473" s="35">
        <f>SUM(Table1[[#This Row],[LC Value]:[Amd Value]])</f>
        <v>17212.5</v>
      </c>
      <c r="K473" s="36">
        <v>3.2</v>
      </c>
      <c r="L473" s="37">
        <v>5250</v>
      </c>
      <c r="M473" s="47" t="s">
        <v>1272</v>
      </c>
      <c r="N473" s="47" t="s">
        <v>1390</v>
      </c>
      <c r="O473" s="48" t="str">
        <f>IFERROR(_xlfn.XLOOKUP(C473, Data!$A$2:$A$236, Data!$C$2:$C$236), "")</f>
        <v>Mr. Lipu Sir</v>
      </c>
    </row>
    <row r="474" spans="1:15" ht="42" customHeight="1" x14ac:dyDescent="0.35">
      <c r="A474" s="41">
        <f t="shared" si="2"/>
        <v>295</v>
      </c>
      <c r="B474" s="110" t="s">
        <v>1444</v>
      </c>
      <c r="C474" s="44" t="s">
        <v>264</v>
      </c>
      <c r="D474" s="45" t="s">
        <v>61</v>
      </c>
      <c r="E474" s="46" t="s">
        <v>1445</v>
      </c>
      <c r="F474" s="33" t="s">
        <v>718</v>
      </c>
      <c r="G474" s="40">
        <v>46096</v>
      </c>
      <c r="H474" s="35">
        <v>29260</v>
      </c>
      <c r="I474" s="36"/>
      <c r="J474" s="35">
        <f>SUM(Table1[[#This Row],[LC Value]:[Amd Value]])</f>
        <v>29260</v>
      </c>
      <c r="K474" s="36">
        <v>3.85</v>
      </c>
      <c r="L474" s="37">
        <v>7600</v>
      </c>
      <c r="M474" s="47" t="s">
        <v>1131</v>
      </c>
      <c r="N474" s="47" t="s">
        <v>1332</v>
      </c>
      <c r="O474" s="48" t="str">
        <f>IFERROR(_xlfn.XLOOKUP(C474, Data!$A$2:$A$236, Data!$C$2:$C$236), "")</f>
        <v>Mr. Lipu Sir</v>
      </c>
    </row>
    <row r="475" spans="1:15" ht="42" customHeight="1" x14ac:dyDescent="0.35">
      <c r="A475" s="41">
        <f t="shared" si="2"/>
        <v>294</v>
      </c>
      <c r="B475" s="110" t="s">
        <v>1441</v>
      </c>
      <c r="C475" s="44" t="s">
        <v>64</v>
      </c>
      <c r="D475" s="45" t="s">
        <v>21</v>
      </c>
      <c r="E475" s="46" t="s">
        <v>1442</v>
      </c>
      <c r="F475" s="33" t="s">
        <v>718</v>
      </c>
      <c r="G475" s="40">
        <v>46092</v>
      </c>
      <c r="H475" s="35">
        <f>154000+206360+55390</f>
        <v>415750</v>
      </c>
      <c r="I475" s="36"/>
      <c r="J475" s="35">
        <f>SUM(Table1[[#This Row],[LC Value]:[Amd Value]])</f>
        <v>415750</v>
      </c>
      <c r="K475" s="36">
        <v>3.08</v>
      </c>
      <c r="L475" s="37">
        <f>50000+67000+18000</f>
        <v>135000</v>
      </c>
      <c r="M475" s="47" t="s">
        <v>1443</v>
      </c>
      <c r="N475" s="47" t="s">
        <v>1398</v>
      </c>
      <c r="O475" s="48" t="str">
        <f>IFERROR(_xlfn.XLOOKUP(C475, Data!$A$2:$A$236, Data!$C$2:$C$236), "")</f>
        <v>Mr. Reza Sir</v>
      </c>
    </row>
    <row r="476" spans="1:15" ht="42" customHeight="1" x14ac:dyDescent="0.35">
      <c r="A476" s="41">
        <f t="shared" si="2"/>
        <v>293</v>
      </c>
      <c r="B476" s="110" t="s">
        <v>1424</v>
      </c>
      <c r="C476" s="44" t="s">
        <v>199</v>
      </c>
      <c r="D476" s="45" t="s">
        <v>32</v>
      </c>
      <c r="E476" s="46" t="s">
        <v>1425</v>
      </c>
      <c r="F476" s="33" t="s">
        <v>886</v>
      </c>
      <c r="G476" s="40">
        <v>46092</v>
      </c>
      <c r="H476" s="35">
        <v>19680</v>
      </c>
      <c r="I476" s="36"/>
      <c r="J476" s="35">
        <f>SUM(Table1[[#This Row],[LC Value]:[Amd Value]])</f>
        <v>19680</v>
      </c>
      <c r="K476" s="36">
        <v>3.2</v>
      </c>
      <c r="L476" s="37">
        <v>6000</v>
      </c>
      <c r="M476" s="47" t="s">
        <v>956</v>
      </c>
      <c r="N476" s="47" t="s">
        <v>955</v>
      </c>
      <c r="O476" s="48" t="str">
        <f>IFERROR(_xlfn.XLOOKUP(C476, Data!$A$2:$A$236, Data!$C$2:$C$236), "")</f>
        <v>MD. Sir</v>
      </c>
    </row>
    <row r="477" spans="1:15" ht="42" customHeight="1" x14ac:dyDescent="0.35">
      <c r="A477" s="41">
        <f t="shared" si="2"/>
        <v>292</v>
      </c>
      <c r="B477" s="110" t="s">
        <v>1422</v>
      </c>
      <c r="C477" s="44" t="s">
        <v>199</v>
      </c>
      <c r="D477" s="45" t="s">
        <v>32</v>
      </c>
      <c r="E477" s="46" t="s">
        <v>1423</v>
      </c>
      <c r="F477" s="33" t="s">
        <v>886</v>
      </c>
      <c r="G477" s="40">
        <v>46092</v>
      </c>
      <c r="H477" s="35">
        <v>44485</v>
      </c>
      <c r="I477" s="36"/>
      <c r="J477" s="35">
        <f>SUM(Table1[[#This Row],[LC Value]:[Amd Value]])</f>
        <v>44485</v>
      </c>
      <c r="K477" s="36">
        <v>4.3</v>
      </c>
      <c r="L477" s="37">
        <v>10250</v>
      </c>
      <c r="M477" s="47" t="s">
        <v>956</v>
      </c>
      <c r="N477" s="47" t="s">
        <v>955</v>
      </c>
      <c r="O477" s="48" t="str">
        <f>IFERROR(_xlfn.XLOOKUP(C477, Data!$A$2:$A$236, Data!$C$2:$C$236), "")</f>
        <v>MD. Sir</v>
      </c>
    </row>
    <row r="478" spans="1:15" ht="42" customHeight="1" x14ac:dyDescent="0.35">
      <c r="A478" s="41">
        <f t="shared" si="2"/>
        <v>291</v>
      </c>
      <c r="B478" s="110" t="s">
        <v>1420</v>
      </c>
      <c r="C478" s="44" t="s">
        <v>200</v>
      </c>
      <c r="D478" s="45" t="s">
        <v>135</v>
      </c>
      <c r="E478" s="46" t="s">
        <v>1421</v>
      </c>
      <c r="F478" s="33" t="s">
        <v>886</v>
      </c>
      <c r="G478" s="40">
        <v>46096</v>
      </c>
      <c r="H478" s="35">
        <v>82875</v>
      </c>
      <c r="I478" s="36"/>
      <c r="J478" s="35">
        <f>SUM(Table1[[#This Row],[LC Value]:[Amd Value]])</f>
        <v>82875</v>
      </c>
      <c r="K478" s="36">
        <v>4.25</v>
      </c>
      <c r="L478" s="37">
        <v>19500</v>
      </c>
      <c r="M478" s="47" t="s">
        <v>956</v>
      </c>
      <c r="N478" s="47" t="s">
        <v>955</v>
      </c>
      <c r="O478" s="48" t="str">
        <f>IFERROR(_xlfn.XLOOKUP(C478, Data!$A$2:$A$236, Data!$C$2:$C$236), "")</f>
        <v>MD. Sir</v>
      </c>
    </row>
    <row r="479" spans="1:15" ht="42" customHeight="1" x14ac:dyDescent="0.35">
      <c r="A479" s="41">
        <f t="shared" si="2"/>
        <v>290</v>
      </c>
      <c r="B479" s="110" t="s">
        <v>1418</v>
      </c>
      <c r="C479" s="44" t="s">
        <v>200</v>
      </c>
      <c r="D479" s="45" t="s">
        <v>98</v>
      </c>
      <c r="E479" s="46" t="s">
        <v>1419</v>
      </c>
      <c r="F479" s="33" t="s">
        <v>886</v>
      </c>
      <c r="G479" s="40">
        <v>46093</v>
      </c>
      <c r="H479" s="35">
        <v>90160</v>
      </c>
      <c r="I479" s="36"/>
      <c r="J479" s="35">
        <f>SUM(Table1[[#This Row],[LC Value]:[Amd Value]])</f>
        <v>90160</v>
      </c>
      <c r="K479" s="36">
        <v>3.6</v>
      </c>
      <c r="L479" s="37">
        <v>19600</v>
      </c>
      <c r="M479" s="47" t="s">
        <v>956</v>
      </c>
      <c r="N479" s="47" t="s">
        <v>955</v>
      </c>
      <c r="O479" s="48" t="str">
        <f>IFERROR(_xlfn.XLOOKUP(C479, Data!$A$2:$A$236, Data!$C$2:$C$236), "")</f>
        <v>MD. Sir</v>
      </c>
    </row>
    <row r="480" spans="1:15" ht="42" customHeight="1" x14ac:dyDescent="0.35">
      <c r="A480" s="41">
        <f t="shared" si="2"/>
        <v>289</v>
      </c>
      <c r="B480" s="110" t="s">
        <v>1416</v>
      </c>
      <c r="C480" s="44" t="s">
        <v>200</v>
      </c>
      <c r="D480" s="45" t="s">
        <v>98</v>
      </c>
      <c r="E480" s="46" t="s">
        <v>1417</v>
      </c>
      <c r="F480" s="33" t="s">
        <v>886</v>
      </c>
      <c r="G480" s="40">
        <v>46092</v>
      </c>
      <c r="H480" s="35">
        <v>13090</v>
      </c>
      <c r="I480" s="36">
        <v>5250</v>
      </c>
      <c r="J480" s="35">
        <f>SUM(Table1[[#This Row],[LC Value]:[Amd Value]])</f>
        <v>18340</v>
      </c>
      <c r="K480" s="36">
        <v>3.6</v>
      </c>
      <c r="L480" s="37">
        <v>3150</v>
      </c>
      <c r="M480" s="47" t="s">
        <v>956</v>
      </c>
      <c r="N480" s="47" t="s">
        <v>955</v>
      </c>
      <c r="O480" s="48" t="str">
        <f>IFERROR(_xlfn.XLOOKUP(C480, Data!$A$2:$A$236, Data!$C$2:$C$236), "")</f>
        <v>MD. Sir</v>
      </c>
    </row>
    <row r="481" spans="1:15" ht="42" customHeight="1" x14ac:dyDescent="0.35">
      <c r="A481" s="41">
        <f t="shared" si="2"/>
        <v>288</v>
      </c>
      <c r="B481" s="110" t="s">
        <v>1414</v>
      </c>
      <c r="C481" s="44" t="s">
        <v>200</v>
      </c>
      <c r="D481" s="45" t="s">
        <v>98</v>
      </c>
      <c r="E481" s="46" t="s">
        <v>1415</v>
      </c>
      <c r="F481" s="33" t="s">
        <v>886</v>
      </c>
      <c r="G481" s="40">
        <v>46092</v>
      </c>
      <c r="H481" s="35">
        <v>31020</v>
      </c>
      <c r="I481" s="36"/>
      <c r="J481" s="35">
        <f>SUM(Table1[[#This Row],[LC Value]:[Amd Value]])</f>
        <v>31020</v>
      </c>
      <c r="K481" s="36">
        <v>3.6</v>
      </c>
      <c r="L481" s="37">
        <v>7050</v>
      </c>
      <c r="M481" s="47" t="s">
        <v>956</v>
      </c>
      <c r="N481" s="47" t="s">
        <v>955</v>
      </c>
      <c r="O481" s="48" t="str">
        <f>IFERROR(_xlfn.XLOOKUP(C481, Data!$A$2:$A$236, Data!$C$2:$C$236), "")</f>
        <v>MD. Sir</v>
      </c>
    </row>
    <row r="482" spans="1:15" ht="42" customHeight="1" x14ac:dyDescent="0.35">
      <c r="A482" s="41">
        <f t="shared" si="2"/>
        <v>287</v>
      </c>
      <c r="B482" s="110" t="s">
        <v>1412</v>
      </c>
      <c r="C482" s="44" t="s">
        <v>200</v>
      </c>
      <c r="D482" s="45" t="s">
        <v>32</v>
      </c>
      <c r="E482" s="46" t="s">
        <v>1413</v>
      </c>
      <c r="F482" s="33" t="s">
        <v>886</v>
      </c>
      <c r="G482" s="40">
        <v>46092</v>
      </c>
      <c r="H482" s="35">
        <f>8100+23977.5</f>
        <v>32077.5</v>
      </c>
      <c r="I482" s="36"/>
      <c r="J482" s="35">
        <f>SUM(Table1[[#This Row],[LC Value]:[Amd Value]])</f>
        <v>32077.5</v>
      </c>
      <c r="K482" s="36">
        <v>3.6</v>
      </c>
      <c r="L482" s="37">
        <f>2250+6950</f>
        <v>9200</v>
      </c>
      <c r="M482" s="47" t="s">
        <v>956</v>
      </c>
      <c r="N482" s="47" t="s">
        <v>955</v>
      </c>
      <c r="O482" s="48" t="str">
        <f>IFERROR(_xlfn.XLOOKUP(C482, Data!$A$2:$A$236, Data!$C$2:$C$236), "")</f>
        <v>MD. Sir</v>
      </c>
    </row>
    <row r="483" spans="1:15" ht="42" customHeight="1" x14ac:dyDescent="0.35">
      <c r="A483" s="41">
        <f t="shared" si="2"/>
        <v>286</v>
      </c>
      <c r="B483" s="110" t="s">
        <v>1410</v>
      </c>
      <c r="C483" s="44" t="s">
        <v>200</v>
      </c>
      <c r="D483" s="45" t="s">
        <v>32</v>
      </c>
      <c r="E483" s="46" t="s">
        <v>1411</v>
      </c>
      <c r="F483" s="33" t="s">
        <v>886</v>
      </c>
      <c r="G483" s="40">
        <v>46092</v>
      </c>
      <c r="H483" s="35">
        <v>37347.5</v>
      </c>
      <c r="I483" s="36"/>
      <c r="J483" s="35">
        <f>SUM(Table1[[#This Row],[LC Value]:[Amd Value]])</f>
        <v>37347.5</v>
      </c>
      <c r="K483" s="36">
        <v>3.7</v>
      </c>
      <c r="L483" s="37">
        <v>10200</v>
      </c>
      <c r="M483" s="47" t="s">
        <v>956</v>
      </c>
      <c r="N483" s="47" t="s">
        <v>955</v>
      </c>
      <c r="O483" s="48" t="str">
        <f>IFERROR(_xlfn.XLOOKUP(C483, Data!$A$2:$A$236, Data!$C$2:$C$236), "")</f>
        <v>MD. Sir</v>
      </c>
    </row>
    <row r="484" spans="1:15" ht="42" customHeight="1" x14ac:dyDescent="0.35">
      <c r="A484" s="41">
        <f t="shared" si="2"/>
        <v>285</v>
      </c>
      <c r="B484" s="110" t="s">
        <v>1408</v>
      </c>
      <c r="C484" s="44" t="s">
        <v>199</v>
      </c>
      <c r="D484" s="45" t="s">
        <v>32</v>
      </c>
      <c r="E484" s="46" t="s">
        <v>1409</v>
      </c>
      <c r="F484" s="33" t="s">
        <v>886</v>
      </c>
      <c r="G484" s="40">
        <v>46092</v>
      </c>
      <c r="H484" s="35">
        <v>62602.5</v>
      </c>
      <c r="I484" s="36"/>
      <c r="J484" s="35">
        <f>SUM(Table1[[#This Row],[LC Value]:[Amd Value]])</f>
        <v>62602.5</v>
      </c>
      <c r="K484" s="36">
        <v>2.5499999999999998</v>
      </c>
      <c r="L484" s="37">
        <v>24550</v>
      </c>
      <c r="M484" s="47" t="s">
        <v>956</v>
      </c>
      <c r="N484" s="47" t="s">
        <v>955</v>
      </c>
      <c r="O484" s="48" t="str">
        <f>IFERROR(_xlfn.XLOOKUP(C484, Data!$A$2:$A$236, Data!$C$2:$C$236), "")</f>
        <v>MD. Sir</v>
      </c>
    </row>
    <row r="485" spans="1:15" ht="42" customHeight="1" x14ac:dyDescent="0.35">
      <c r="A485" s="41">
        <f t="shared" si="2"/>
        <v>284</v>
      </c>
      <c r="B485" s="110" t="s">
        <v>1406</v>
      </c>
      <c r="C485" s="44" t="s">
        <v>199</v>
      </c>
      <c r="D485" s="45" t="s">
        <v>32</v>
      </c>
      <c r="E485" s="46" t="s">
        <v>1407</v>
      </c>
      <c r="F485" s="33" t="s">
        <v>886</v>
      </c>
      <c r="G485" s="40">
        <v>46092</v>
      </c>
      <c r="H485" s="35">
        <v>31680</v>
      </c>
      <c r="I485" s="36"/>
      <c r="J485" s="35">
        <f>SUM(Table1[[#This Row],[LC Value]:[Amd Value]])</f>
        <v>31680</v>
      </c>
      <c r="K485" s="36">
        <v>3.6</v>
      </c>
      <c r="L485" s="37">
        <v>8800</v>
      </c>
      <c r="M485" s="47" t="s">
        <v>956</v>
      </c>
      <c r="N485" s="47" t="s">
        <v>955</v>
      </c>
      <c r="O485" s="48" t="str">
        <f>IFERROR(_xlfn.XLOOKUP(C485, Data!$A$2:$A$236, Data!$C$2:$C$236), "")</f>
        <v>MD. Sir</v>
      </c>
    </row>
    <row r="486" spans="1:15" ht="42" customHeight="1" x14ac:dyDescent="0.35">
      <c r="A486" s="41">
        <f t="shared" si="2"/>
        <v>283</v>
      </c>
      <c r="B486" s="110" t="s">
        <v>1404</v>
      </c>
      <c r="C486" s="44" t="s">
        <v>201</v>
      </c>
      <c r="D486" s="45" t="s">
        <v>96</v>
      </c>
      <c r="E486" s="46" t="s">
        <v>1405</v>
      </c>
      <c r="F486" s="33" t="s">
        <v>886</v>
      </c>
      <c r="G486" s="40">
        <v>46092</v>
      </c>
      <c r="H486" s="35">
        <v>24095</v>
      </c>
      <c r="I486" s="36"/>
      <c r="J486" s="35">
        <f>SUM(Table1[[#This Row],[LC Value]:[Amd Value]])</f>
        <v>24095</v>
      </c>
      <c r="K486" s="36">
        <v>3.38</v>
      </c>
      <c r="L486" s="37">
        <v>6300</v>
      </c>
      <c r="M486" s="47" t="s">
        <v>956</v>
      </c>
      <c r="N486" s="47" t="s">
        <v>955</v>
      </c>
      <c r="O486" s="48" t="str">
        <f>IFERROR(_xlfn.XLOOKUP(C486, Data!$A$2:$A$236, Data!$C$2:$C$236), "")</f>
        <v>Director Sir</v>
      </c>
    </row>
    <row r="487" spans="1:15" ht="42" customHeight="1" x14ac:dyDescent="0.35">
      <c r="A487" s="41">
        <f t="shared" si="2"/>
        <v>282</v>
      </c>
      <c r="B487" s="110" t="s">
        <v>1402</v>
      </c>
      <c r="C487" s="44" t="s">
        <v>201</v>
      </c>
      <c r="D487" s="45" t="s">
        <v>21</v>
      </c>
      <c r="E487" s="46" t="s">
        <v>1403</v>
      </c>
      <c r="F487" s="33" t="s">
        <v>886</v>
      </c>
      <c r="G487" s="40">
        <v>46091</v>
      </c>
      <c r="H487" s="35">
        <v>42250</v>
      </c>
      <c r="I487" s="36"/>
      <c r="J487" s="35">
        <f>SUM(Table1[[#This Row],[LC Value]:[Amd Value]])</f>
        <v>42250</v>
      </c>
      <c r="K487" s="36">
        <v>3.38</v>
      </c>
      <c r="L487" s="37">
        <v>12500</v>
      </c>
      <c r="M487" s="47" t="s">
        <v>956</v>
      </c>
      <c r="N487" s="47" t="s">
        <v>955</v>
      </c>
      <c r="O487" s="48" t="str">
        <f>IFERROR(_xlfn.XLOOKUP(C487, Data!$A$2:$A$236, Data!$C$2:$C$236), "")</f>
        <v>Director Sir</v>
      </c>
    </row>
    <row r="488" spans="1:15" ht="42" customHeight="1" x14ac:dyDescent="0.35">
      <c r="A488" s="41">
        <f t="shared" si="2"/>
        <v>281</v>
      </c>
      <c r="B488" s="110" t="s">
        <v>1399</v>
      </c>
      <c r="C488" s="44" t="s">
        <v>68</v>
      </c>
      <c r="D488" s="45" t="s">
        <v>414</v>
      </c>
      <c r="E488" s="46" t="s">
        <v>1400</v>
      </c>
      <c r="F488" s="33" t="s">
        <v>886</v>
      </c>
      <c r="G488" s="40">
        <v>46093</v>
      </c>
      <c r="H488" s="35">
        <f>98600+9315</f>
        <v>107915</v>
      </c>
      <c r="I488" s="36"/>
      <c r="J488" s="35">
        <f>SUM(Table1[[#This Row],[LC Value]:[Amd Value]])</f>
        <v>107915</v>
      </c>
      <c r="K488" s="36">
        <v>3.4</v>
      </c>
      <c r="L488" s="37">
        <v>31300</v>
      </c>
      <c r="M488" s="47" t="s">
        <v>1346</v>
      </c>
      <c r="N488" s="47" t="s">
        <v>1401</v>
      </c>
      <c r="O488" s="48" t="str">
        <f>IFERROR(_xlfn.XLOOKUP(C488, Data!$A$2:$A$236, Data!$C$2:$C$236), "")</f>
        <v>Director Sir</v>
      </c>
    </row>
    <row r="489" spans="1:15" ht="42" customHeight="1" x14ac:dyDescent="0.35">
      <c r="A489" s="41">
        <f t="shared" si="2"/>
        <v>280</v>
      </c>
      <c r="B489" s="110" t="s">
        <v>1396</v>
      </c>
      <c r="C489" s="44" t="s">
        <v>1393</v>
      </c>
      <c r="D489" s="45" t="s">
        <v>1394</v>
      </c>
      <c r="E489" s="46" t="s">
        <v>1397</v>
      </c>
      <c r="F489" s="33" t="s">
        <v>886</v>
      </c>
      <c r="G489" s="40">
        <v>46096</v>
      </c>
      <c r="H489" s="35">
        <f>72500*4</f>
        <v>290000</v>
      </c>
      <c r="I489" s="36"/>
      <c r="J489" s="35">
        <f>SUM(Table1[[#This Row],[LC Value]:[Amd Value]])</f>
        <v>290000</v>
      </c>
      <c r="K489" s="36">
        <v>2.9</v>
      </c>
      <c r="L489" s="37">
        <v>100000</v>
      </c>
      <c r="M489" s="47" t="s">
        <v>1398</v>
      </c>
      <c r="N489" s="47" t="s">
        <v>1256</v>
      </c>
      <c r="O489" s="48" t="str">
        <f>IFERROR(_xlfn.XLOOKUP(C489, Data!$A$2:$A$236, Data!$C$2:$C$236), "")</f>
        <v>Mr. Lipu Sir</v>
      </c>
    </row>
    <row r="490" spans="1:15" ht="42" customHeight="1" x14ac:dyDescent="0.35">
      <c r="A490" s="41">
        <f t="shared" si="2"/>
        <v>279</v>
      </c>
      <c r="B490" s="110" t="s">
        <v>1391</v>
      </c>
      <c r="C490" s="44" t="s">
        <v>185</v>
      </c>
      <c r="D490" s="45" t="s">
        <v>115</v>
      </c>
      <c r="E490" s="46" t="s">
        <v>1392</v>
      </c>
      <c r="F490" s="33" t="s">
        <v>581</v>
      </c>
      <c r="G490" s="40">
        <v>46109</v>
      </c>
      <c r="H490" s="35">
        <v>9750</v>
      </c>
      <c r="I490" s="36"/>
      <c r="J490" s="35">
        <f>SUM(Table1[[#This Row],[LC Value]:[Amd Value]])</f>
        <v>9750</v>
      </c>
      <c r="K490" s="36">
        <v>3.9</v>
      </c>
      <c r="L490" s="37">
        <v>2500</v>
      </c>
      <c r="M490" s="47" t="s">
        <v>1040</v>
      </c>
      <c r="N490" s="47" t="s">
        <v>1256</v>
      </c>
      <c r="O490" s="48" t="str">
        <f>IFERROR(_xlfn.XLOOKUP(C490, Data!$A$2:$A$236, Data!$C$2:$C$236), "")</f>
        <v>Director Sir</v>
      </c>
    </row>
    <row r="491" spans="1:15" ht="42" customHeight="1" x14ac:dyDescent="0.35">
      <c r="A491" s="41">
        <f t="shared" si="2"/>
        <v>278</v>
      </c>
      <c r="B491" s="110" t="s">
        <v>1386</v>
      </c>
      <c r="C491" s="44" t="s">
        <v>199</v>
      </c>
      <c r="D491" s="45" t="s">
        <v>32</v>
      </c>
      <c r="E491" s="46" t="s">
        <v>1387</v>
      </c>
      <c r="F491" s="33" t="s">
        <v>581</v>
      </c>
      <c r="G491" s="40">
        <v>46092</v>
      </c>
      <c r="H491" s="35">
        <v>71500</v>
      </c>
      <c r="I491" s="36"/>
      <c r="J491" s="35">
        <f>SUM(Table1[[#This Row],[LC Value]:[Amd Value]])</f>
        <v>71500</v>
      </c>
      <c r="K491" s="36">
        <v>2.75</v>
      </c>
      <c r="L491" s="37">
        <v>26000</v>
      </c>
      <c r="M491" s="47" t="s">
        <v>1040</v>
      </c>
      <c r="N491" s="47" t="s">
        <v>1256</v>
      </c>
      <c r="O491" s="48" t="str">
        <f>IFERROR(_xlfn.XLOOKUP(C491, Data!$A$2:$A$236, Data!$C$2:$C$236), "")</f>
        <v>MD. Sir</v>
      </c>
    </row>
    <row r="492" spans="1:15" ht="42" customHeight="1" x14ac:dyDescent="0.35">
      <c r="A492" s="41">
        <f t="shared" si="2"/>
        <v>277</v>
      </c>
      <c r="B492" s="110" t="s">
        <v>1384</v>
      </c>
      <c r="C492" s="44" t="s">
        <v>78</v>
      </c>
      <c r="D492" s="45" t="s">
        <v>98</v>
      </c>
      <c r="E492" s="46" t="s">
        <v>1385</v>
      </c>
      <c r="F492" s="33" t="s">
        <v>581</v>
      </c>
      <c r="G492" s="40">
        <v>46109</v>
      </c>
      <c r="H492" s="35">
        <v>15552.5</v>
      </c>
      <c r="I492" s="36"/>
      <c r="J492" s="35">
        <f>SUM(Table1[[#This Row],[LC Value]:[Amd Value]])</f>
        <v>15552.5</v>
      </c>
      <c r="K492" s="36">
        <v>3.05</v>
      </c>
      <c r="L492" s="37">
        <v>5050</v>
      </c>
      <c r="M492" s="47" t="s">
        <v>843</v>
      </c>
      <c r="N492" s="47" t="s">
        <v>1010</v>
      </c>
      <c r="O492" s="48" t="str">
        <f>IFERROR(_xlfn.XLOOKUP(C492, Data!$A$2:$A$236, Data!$C$2:$C$236), "")</f>
        <v>Mr. Reza Sir</v>
      </c>
    </row>
    <row r="493" spans="1:15" ht="42" customHeight="1" x14ac:dyDescent="0.35">
      <c r="A493" s="41">
        <f t="shared" si="2"/>
        <v>276</v>
      </c>
      <c r="B493" s="110" t="s">
        <v>1382</v>
      </c>
      <c r="C493" s="44" t="s">
        <v>199</v>
      </c>
      <c r="D493" s="45" t="s">
        <v>353</v>
      </c>
      <c r="E493" s="46" t="s">
        <v>1383</v>
      </c>
      <c r="F493" s="33" t="s">
        <v>581</v>
      </c>
      <c r="G493" s="40">
        <v>46109</v>
      </c>
      <c r="H493" s="35">
        <v>72760</v>
      </c>
      <c r="I493" s="36"/>
      <c r="J493" s="35">
        <f>SUM(Table1[[#This Row],[LC Value]:[Amd Value]])</f>
        <v>72760</v>
      </c>
      <c r="K493" s="36">
        <v>4.75</v>
      </c>
      <c r="L493" s="37">
        <v>23700</v>
      </c>
      <c r="M493" s="47" t="s">
        <v>956</v>
      </c>
      <c r="N493" s="47" t="s">
        <v>955</v>
      </c>
      <c r="O493" s="48" t="str">
        <f>IFERROR(_xlfn.XLOOKUP(C493, Data!$A$2:$A$236, Data!$C$2:$C$236), "")</f>
        <v>MD. Sir</v>
      </c>
    </row>
    <row r="494" spans="1:15" ht="42" customHeight="1" x14ac:dyDescent="0.35">
      <c r="A494" s="41">
        <f t="shared" si="2"/>
        <v>275</v>
      </c>
      <c r="B494" s="110" t="s">
        <v>1380</v>
      </c>
      <c r="C494" s="44" t="s">
        <v>200</v>
      </c>
      <c r="D494" s="45" t="s">
        <v>98</v>
      </c>
      <c r="E494" s="46" t="s">
        <v>1381</v>
      </c>
      <c r="F494" s="33" t="s">
        <v>581</v>
      </c>
      <c r="G494" s="40">
        <v>46092</v>
      </c>
      <c r="H494" s="35">
        <v>24700</v>
      </c>
      <c r="I494" s="36"/>
      <c r="J494" s="35">
        <f>SUM(Table1[[#This Row],[LC Value]:[Amd Value]])</f>
        <v>24700</v>
      </c>
      <c r="K494" s="36">
        <v>4.75</v>
      </c>
      <c r="L494" s="37">
        <v>5200</v>
      </c>
      <c r="M494" s="47" t="s">
        <v>956</v>
      </c>
      <c r="N494" s="47" t="s">
        <v>955</v>
      </c>
      <c r="O494" s="48" t="str">
        <f>IFERROR(_xlfn.XLOOKUP(C494, Data!$A$2:$A$236, Data!$C$2:$C$236), "")</f>
        <v>MD. Sir</v>
      </c>
    </row>
    <row r="495" spans="1:15" ht="42" customHeight="1" x14ac:dyDescent="0.35">
      <c r="A495" s="41">
        <f t="shared" si="2"/>
        <v>274</v>
      </c>
      <c r="B495" s="110" t="s">
        <v>1378</v>
      </c>
      <c r="C495" s="44" t="s">
        <v>200</v>
      </c>
      <c r="D495" s="45" t="s">
        <v>98</v>
      </c>
      <c r="E495" s="46" t="s">
        <v>1379</v>
      </c>
      <c r="F495" s="33" t="s">
        <v>581</v>
      </c>
      <c r="G495" s="40">
        <v>46092</v>
      </c>
      <c r="H495" s="35">
        <v>18675</v>
      </c>
      <c r="I495" s="36"/>
      <c r="J495" s="35">
        <f>SUM(Table1[[#This Row],[LC Value]:[Amd Value]])</f>
        <v>18675</v>
      </c>
      <c r="K495" s="36">
        <v>4.5</v>
      </c>
      <c r="L495" s="37">
        <v>4150</v>
      </c>
      <c r="M495" s="47" t="s">
        <v>736</v>
      </c>
      <c r="N495" s="47" t="s">
        <v>877</v>
      </c>
      <c r="O495" s="48" t="str">
        <f>IFERROR(_xlfn.XLOOKUP(C495, Data!$A$2:$A$236, Data!$C$2:$C$236), "")</f>
        <v>MD. Sir</v>
      </c>
    </row>
    <row r="496" spans="1:15" ht="42" customHeight="1" x14ac:dyDescent="0.35">
      <c r="A496" s="41">
        <f t="shared" si="2"/>
        <v>273</v>
      </c>
      <c r="B496" s="110" t="s">
        <v>1374</v>
      </c>
      <c r="C496" s="44" t="s">
        <v>200</v>
      </c>
      <c r="D496" s="45" t="s">
        <v>135</v>
      </c>
      <c r="E496" s="46" t="s">
        <v>1377</v>
      </c>
      <c r="F496" s="33" t="s">
        <v>581</v>
      </c>
      <c r="G496" s="40">
        <v>46109</v>
      </c>
      <c r="H496" s="35">
        <v>44152.5</v>
      </c>
      <c r="I496" s="36"/>
      <c r="J496" s="35">
        <f>SUM(Table1[[#This Row],[LC Value]:[Amd Value]])</f>
        <v>44152.5</v>
      </c>
      <c r="K496" s="36">
        <v>4.3499999999999996</v>
      </c>
      <c r="L496" s="37">
        <v>10150</v>
      </c>
      <c r="M496" s="47" t="s">
        <v>1346</v>
      </c>
      <c r="N496" s="47" t="s">
        <v>1245</v>
      </c>
      <c r="O496" s="48" t="str">
        <f>IFERROR(_xlfn.XLOOKUP(C496, Data!$A$2:$A$236, Data!$C$2:$C$236), "")</f>
        <v>MD. Sir</v>
      </c>
    </row>
    <row r="497" spans="1:15" ht="42" customHeight="1" x14ac:dyDescent="0.35">
      <c r="A497" s="41">
        <f t="shared" si="2"/>
        <v>272</v>
      </c>
      <c r="B497" s="110" t="s">
        <v>1376</v>
      </c>
      <c r="C497" s="44" t="s">
        <v>200</v>
      </c>
      <c r="D497" s="45" t="s">
        <v>135</v>
      </c>
      <c r="E497" s="46" t="s">
        <v>1375</v>
      </c>
      <c r="F497" s="33" t="s">
        <v>581</v>
      </c>
      <c r="G497" s="40">
        <v>46109</v>
      </c>
      <c r="H497" s="35">
        <v>54612.5</v>
      </c>
      <c r="I497" s="36"/>
      <c r="J497" s="35">
        <f>SUM(Table1[[#This Row],[LC Value]:[Amd Value]])</f>
        <v>54612.5</v>
      </c>
      <c r="K497" s="36">
        <v>4.3499999999999996</v>
      </c>
      <c r="L497" s="37">
        <v>10150</v>
      </c>
      <c r="M497" s="47" t="s">
        <v>1346</v>
      </c>
      <c r="N497" s="47" t="s">
        <v>1245</v>
      </c>
      <c r="O497" s="48" t="str">
        <f>IFERROR(_xlfn.XLOOKUP(C497, Data!$A$2:$A$236, Data!$C$2:$C$236), "")</f>
        <v>MD. Sir</v>
      </c>
    </row>
    <row r="498" spans="1:15" ht="42" customHeight="1" x14ac:dyDescent="0.35">
      <c r="A498" s="41">
        <f t="shared" si="2"/>
        <v>271</v>
      </c>
      <c r="B498" s="110" t="s">
        <v>1372</v>
      </c>
      <c r="C498" s="44" t="s">
        <v>169</v>
      </c>
      <c r="D498" s="45" t="s">
        <v>21</v>
      </c>
      <c r="E498" s="46" t="s">
        <v>1373</v>
      </c>
      <c r="F498" s="33" t="s">
        <v>581</v>
      </c>
      <c r="G498" s="40">
        <v>46109</v>
      </c>
      <c r="H498" s="35">
        <v>154000</v>
      </c>
      <c r="I498" s="36"/>
      <c r="J498" s="35">
        <f>SUM(Table1[[#This Row],[LC Value]:[Amd Value]])</f>
        <v>154000</v>
      </c>
      <c r="K498" s="36">
        <v>3.08</v>
      </c>
      <c r="L498" s="37">
        <v>50000</v>
      </c>
      <c r="M498" s="47" t="s">
        <v>1346</v>
      </c>
      <c r="N498" s="47" t="s">
        <v>1245</v>
      </c>
      <c r="O498" s="48" t="str">
        <f>IFERROR(_xlfn.XLOOKUP(C498, Data!$A$2:$A$236, Data!$C$2:$C$236), "")</f>
        <v>Mr. Lipu Sir</v>
      </c>
    </row>
    <row r="499" spans="1:15" ht="42" customHeight="1" x14ac:dyDescent="0.35">
      <c r="A499" s="41">
        <f t="shared" si="2"/>
        <v>270</v>
      </c>
      <c r="B499" s="110" t="s">
        <v>1370</v>
      </c>
      <c r="C499" s="44" t="s">
        <v>97</v>
      </c>
      <c r="D499" s="45" t="s">
        <v>98</v>
      </c>
      <c r="E499" s="46" t="s">
        <v>1371</v>
      </c>
      <c r="F499" s="33" t="s">
        <v>581</v>
      </c>
      <c r="G499" s="40">
        <v>46109</v>
      </c>
      <c r="H499" s="35">
        <v>46060</v>
      </c>
      <c r="I499" s="36"/>
      <c r="J499" s="35">
        <f>SUM(Table1[[#This Row],[LC Value]:[Amd Value]])</f>
        <v>46060</v>
      </c>
      <c r="K499" s="36">
        <v>3.6</v>
      </c>
      <c r="L499" s="37">
        <v>13350</v>
      </c>
      <c r="M499" s="47" t="s">
        <v>736</v>
      </c>
      <c r="N499" s="47" t="s">
        <v>1010</v>
      </c>
      <c r="O499" s="48" t="str">
        <f>IFERROR(_xlfn.XLOOKUP(C499, Data!$A$2:$A$236, Data!$C$2:$C$236), "")</f>
        <v>Mr. Reza Sir</v>
      </c>
    </row>
    <row r="500" spans="1:15" ht="42" customHeight="1" x14ac:dyDescent="0.35">
      <c r="A500" s="41">
        <f t="shared" si="2"/>
        <v>269</v>
      </c>
      <c r="B500" s="110" t="s">
        <v>1368</v>
      </c>
      <c r="C500" s="44" t="s">
        <v>97</v>
      </c>
      <c r="D500" s="45" t="s">
        <v>98</v>
      </c>
      <c r="E500" s="46" t="s">
        <v>1369</v>
      </c>
      <c r="F500" s="33" t="s">
        <v>581</v>
      </c>
      <c r="G500" s="40">
        <v>46109</v>
      </c>
      <c r="H500" s="35">
        <v>44667.5</v>
      </c>
      <c r="I500" s="36"/>
      <c r="J500" s="35">
        <f>SUM(Table1[[#This Row],[LC Value]:[Amd Value]])</f>
        <v>44667.5</v>
      </c>
      <c r="K500" s="36">
        <v>3.3</v>
      </c>
      <c r="L500" s="37">
        <v>12950</v>
      </c>
      <c r="M500" s="47" t="s">
        <v>736</v>
      </c>
      <c r="N500" s="47" t="s">
        <v>1010</v>
      </c>
      <c r="O500" s="48" t="str">
        <f>IFERROR(_xlfn.XLOOKUP(C500, Data!$A$2:$A$236, Data!$C$2:$C$236), "")</f>
        <v>Mr. Reza Sir</v>
      </c>
    </row>
    <row r="501" spans="1:15" ht="42" customHeight="1" x14ac:dyDescent="0.35">
      <c r="A501" s="41">
        <f t="shared" si="2"/>
        <v>268</v>
      </c>
      <c r="B501" s="110" t="s">
        <v>1366</v>
      </c>
      <c r="C501" s="49" t="s">
        <v>927</v>
      </c>
      <c r="D501" s="45" t="s">
        <v>91</v>
      </c>
      <c r="E501" s="46" t="s">
        <v>1367</v>
      </c>
      <c r="F501" s="33" t="s">
        <v>1341</v>
      </c>
      <c r="G501" s="34">
        <v>46086</v>
      </c>
      <c r="H501" s="35">
        <v>2170</v>
      </c>
      <c r="I501" s="36"/>
      <c r="J501" s="35">
        <f>SUM(Table1[[#This Row],[LC Value]:[Amd Value]])</f>
        <v>2170</v>
      </c>
      <c r="K501" s="36">
        <v>7</v>
      </c>
      <c r="L501" s="37">
        <v>300</v>
      </c>
      <c r="M501" s="47" t="s">
        <v>627</v>
      </c>
      <c r="N501" s="47">
        <v>15.0326</v>
      </c>
      <c r="O501" s="48" t="str">
        <f>IFERROR(_xlfn.XLOOKUP(C501, Data!$A$2:$A$236, Data!$C$2:$C$236), "")</f>
        <v>Mr. Lipu Sir</v>
      </c>
    </row>
    <row r="502" spans="1:15" ht="42" customHeight="1" x14ac:dyDescent="0.35">
      <c r="A502" s="41">
        <f t="shared" si="2"/>
        <v>267</v>
      </c>
      <c r="B502" s="110" t="s">
        <v>1364</v>
      </c>
      <c r="C502" s="49" t="s">
        <v>277</v>
      </c>
      <c r="D502" s="45" t="s">
        <v>32</v>
      </c>
      <c r="E502" s="46" t="s">
        <v>1365</v>
      </c>
      <c r="F502" s="33" t="s">
        <v>1341</v>
      </c>
      <c r="G502" s="34">
        <v>46086</v>
      </c>
      <c r="H502" s="35">
        <v>502500</v>
      </c>
      <c r="I502" s="36"/>
      <c r="J502" s="35">
        <f>SUM(Table1[[#This Row],[LC Value]:[Amd Value]])</f>
        <v>502500</v>
      </c>
      <c r="K502" s="36">
        <v>3.7</v>
      </c>
      <c r="L502" s="37">
        <v>150000</v>
      </c>
      <c r="M502" s="47" t="s">
        <v>627</v>
      </c>
      <c r="N502" s="47">
        <v>15.0326</v>
      </c>
      <c r="O502" s="48" t="s">
        <v>2268</v>
      </c>
    </row>
    <row r="503" spans="1:15" ht="42" customHeight="1" x14ac:dyDescent="0.35">
      <c r="A503" s="41">
        <f t="shared" si="2"/>
        <v>266</v>
      </c>
      <c r="B503" s="110" t="s">
        <v>1362</v>
      </c>
      <c r="C503" s="44" t="s">
        <v>1361</v>
      </c>
      <c r="D503" s="45" t="s">
        <v>61</v>
      </c>
      <c r="E503" s="46" t="s">
        <v>1363</v>
      </c>
      <c r="F503" s="33" t="s">
        <v>1341</v>
      </c>
      <c r="G503" s="40">
        <v>46096</v>
      </c>
      <c r="H503" s="35">
        <v>7400</v>
      </c>
      <c r="I503" s="36"/>
      <c r="J503" s="35">
        <f>SUM(Table1[[#This Row],[LC Value]:[Amd Value]])</f>
        <v>7400</v>
      </c>
      <c r="K503" s="36">
        <v>3.7</v>
      </c>
      <c r="L503" s="37">
        <v>2000</v>
      </c>
      <c r="M503" s="47" t="s">
        <v>627</v>
      </c>
      <c r="N503" s="47">
        <v>15.0326</v>
      </c>
      <c r="O503" s="48" t="str">
        <f>IFERROR(_xlfn.XLOOKUP(C503, Data!$A$2:$A$236, Data!$C$2:$C$236), "")</f>
        <v>Mr. Reza Sir</v>
      </c>
    </row>
    <row r="504" spans="1:15" ht="42" customHeight="1" x14ac:dyDescent="0.35">
      <c r="A504" s="41">
        <f t="shared" si="2"/>
        <v>265</v>
      </c>
      <c r="B504" s="110" t="s">
        <v>1359</v>
      </c>
      <c r="C504" s="44" t="s">
        <v>150</v>
      </c>
      <c r="D504" s="45" t="s">
        <v>95</v>
      </c>
      <c r="E504" s="46" t="s">
        <v>1360</v>
      </c>
      <c r="F504" s="33" t="s">
        <v>1341</v>
      </c>
      <c r="G504" s="40">
        <v>46092</v>
      </c>
      <c r="H504" s="35">
        <v>28844.5</v>
      </c>
      <c r="I504" s="36"/>
      <c r="J504" s="35">
        <f>SUM(Table1[[#This Row],[LC Value]:[Amd Value]])</f>
        <v>28844.5</v>
      </c>
      <c r="K504" s="36">
        <v>3.32</v>
      </c>
      <c r="L504" s="37">
        <v>8100</v>
      </c>
      <c r="M504" s="47" t="s">
        <v>843</v>
      </c>
      <c r="N504" s="47" t="s">
        <v>1010</v>
      </c>
      <c r="O504" s="48" t="str">
        <f>IFERROR(_xlfn.XLOOKUP(C504, Data!$A$2:$A$236, Data!$C$2:$C$236), "")</f>
        <v>Mr. Sohel Sir</v>
      </c>
    </row>
    <row r="505" spans="1:15" ht="42" customHeight="1" x14ac:dyDescent="0.35">
      <c r="A505" s="41">
        <f t="shared" si="2"/>
        <v>264</v>
      </c>
      <c r="B505" s="110" t="s">
        <v>1355</v>
      </c>
      <c r="C505" s="44" t="s">
        <v>201</v>
      </c>
      <c r="D505" s="45" t="s">
        <v>95</v>
      </c>
      <c r="E505" s="46" t="s">
        <v>1356</v>
      </c>
      <c r="F505" s="33" t="s">
        <v>1341</v>
      </c>
      <c r="G505" s="40">
        <v>46090</v>
      </c>
      <c r="H505" s="35">
        <v>165750</v>
      </c>
      <c r="I505" s="36"/>
      <c r="J505" s="35">
        <f>SUM(Table1[[#This Row],[LC Value]:[Amd Value]])</f>
        <v>165750</v>
      </c>
      <c r="K505" s="36">
        <v>3.25</v>
      </c>
      <c r="L505" s="37">
        <v>51000</v>
      </c>
      <c r="M505" s="47" t="s">
        <v>956</v>
      </c>
      <c r="N505" s="47" t="s">
        <v>955</v>
      </c>
      <c r="O505" s="48" t="str">
        <f>IFERROR(_xlfn.XLOOKUP(C505, Data!$A$2:$A$236, Data!$C$2:$C$236), "")</f>
        <v>Director Sir</v>
      </c>
    </row>
    <row r="506" spans="1:15" ht="42" customHeight="1" x14ac:dyDescent="0.35">
      <c r="A506" s="41">
        <f t="shared" si="2"/>
        <v>263</v>
      </c>
      <c r="B506" s="110" t="s">
        <v>1353</v>
      </c>
      <c r="C506" s="44" t="s">
        <v>199</v>
      </c>
      <c r="D506" s="45" t="s">
        <v>32</v>
      </c>
      <c r="E506" s="46" t="s">
        <v>1354</v>
      </c>
      <c r="F506" s="33" t="s">
        <v>1341</v>
      </c>
      <c r="G506" s="40">
        <v>46093</v>
      </c>
      <c r="H506" s="35">
        <v>25032.5</v>
      </c>
      <c r="I506" s="36"/>
      <c r="J506" s="35">
        <f>SUM(Table1[[#This Row],[LC Value]:[Amd Value]])</f>
        <v>25032.5</v>
      </c>
      <c r="K506" s="36">
        <v>3.5</v>
      </c>
      <c r="L506" s="37">
        <v>8400</v>
      </c>
      <c r="M506" s="47" t="s">
        <v>1131</v>
      </c>
      <c r="N506" s="47" t="s">
        <v>1332</v>
      </c>
      <c r="O506" s="48" t="str">
        <f>IFERROR(_xlfn.XLOOKUP(C506, Data!$A$2:$A$236, Data!$C$2:$C$236), "")</f>
        <v>MD. Sir</v>
      </c>
    </row>
    <row r="507" spans="1:15" ht="42" customHeight="1" x14ac:dyDescent="0.35">
      <c r="A507" s="41">
        <f t="shared" si="2"/>
        <v>262</v>
      </c>
      <c r="B507" s="110" t="s">
        <v>1351</v>
      </c>
      <c r="C507" s="44" t="s">
        <v>199</v>
      </c>
      <c r="D507" s="45" t="s">
        <v>98</v>
      </c>
      <c r="E507" s="46" t="s">
        <v>1352</v>
      </c>
      <c r="F507" s="33" t="s">
        <v>1341</v>
      </c>
      <c r="G507" s="40">
        <v>46093</v>
      </c>
      <c r="H507" s="35">
        <v>33775</v>
      </c>
      <c r="I507" s="36"/>
      <c r="J507" s="35">
        <f>SUM(Table1[[#This Row],[LC Value]:[Amd Value]])</f>
        <v>33775</v>
      </c>
      <c r="K507" s="36">
        <v>3.5</v>
      </c>
      <c r="L507" s="37">
        <v>9650</v>
      </c>
      <c r="M507" s="47" t="s">
        <v>1131</v>
      </c>
      <c r="N507" s="47" t="s">
        <v>1332</v>
      </c>
      <c r="O507" s="48" t="str">
        <f>IFERROR(_xlfn.XLOOKUP(C507, Data!$A$2:$A$236, Data!$C$2:$C$236), "")</f>
        <v>MD. Sir</v>
      </c>
    </row>
    <row r="508" spans="1:15" ht="42" customHeight="1" x14ac:dyDescent="0.35">
      <c r="A508" s="41">
        <f t="shared" si="2"/>
        <v>261</v>
      </c>
      <c r="B508" s="110" t="s">
        <v>1349</v>
      </c>
      <c r="C508" s="44" t="s">
        <v>199</v>
      </c>
      <c r="D508" s="45" t="s">
        <v>32</v>
      </c>
      <c r="E508" s="46" t="s">
        <v>1350</v>
      </c>
      <c r="F508" s="33" t="s">
        <v>1341</v>
      </c>
      <c r="G508" s="40">
        <v>46093</v>
      </c>
      <c r="H508" s="35">
        <v>43430</v>
      </c>
      <c r="I508" s="36"/>
      <c r="J508" s="35">
        <f>SUM(Table1[[#This Row],[LC Value]:[Amd Value]])</f>
        <v>43430</v>
      </c>
      <c r="K508" s="36">
        <v>2.8</v>
      </c>
      <c r="L508" s="37">
        <v>15850</v>
      </c>
      <c r="M508" s="47" t="s">
        <v>823</v>
      </c>
      <c r="N508" s="47" t="s">
        <v>1346</v>
      </c>
      <c r="O508" s="48" t="str">
        <f>IFERROR(_xlfn.XLOOKUP(C508, Data!$A$2:$A$236, Data!$C$2:$C$236), "")</f>
        <v>MD. Sir</v>
      </c>
    </row>
    <row r="509" spans="1:15" ht="42" customHeight="1" x14ac:dyDescent="0.35">
      <c r="A509" s="41">
        <f t="shared" si="2"/>
        <v>260</v>
      </c>
      <c r="B509" s="110" t="s">
        <v>1344</v>
      </c>
      <c r="C509" s="44" t="s">
        <v>245</v>
      </c>
      <c r="D509" s="45" t="s">
        <v>135</v>
      </c>
      <c r="E509" s="46" t="s">
        <v>1345</v>
      </c>
      <c r="F509" s="33" t="s">
        <v>1341</v>
      </c>
      <c r="G509" s="40">
        <v>46092</v>
      </c>
      <c r="H509" s="35">
        <v>8985</v>
      </c>
      <c r="I509" s="36"/>
      <c r="J509" s="35">
        <f>SUM(Table1[[#This Row],[LC Value]:[Amd Value]])</f>
        <v>8985</v>
      </c>
      <c r="K509" s="36">
        <v>3.05</v>
      </c>
      <c r="L509" s="37">
        <v>2900</v>
      </c>
      <c r="M509" s="47" t="s">
        <v>823</v>
      </c>
      <c r="N509" s="47" t="s">
        <v>1346</v>
      </c>
      <c r="O509" s="48" t="str">
        <f>IFERROR(_xlfn.XLOOKUP(C509, Data!$A$2:$A$236, Data!$C$2:$C$236), "")</f>
        <v>Mr. Reza Sir</v>
      </c>
    </row>
    <row r="510" spans="1:15" ht="42" customHeight="1" x14ac:dyDescent="0.35">
      <c r="A510" s="41">
        <f t="shared" si="2"/>
        <v>259</v>
      </c>
      <c r="B510" s="110" t="s">
        <v>1342</v>
      </c>
      <c r="C510" s="44" t="s">
        <v>78</v>
      </c>
      <c r="D510" s="45" t="s">
        <v>98</v>
      </c>
      <c r="E510" s="46" t="s">
        <v>1343</v>
      </c>
      <c r="F510" s="33" t="s">
        <v>1341</v>
      </c>
      <c r="G510" s="40">
        <v>46092</v>
      </c>
      <c r="H510" s="35">
        <v>85557.5</v>
      </c>
      <c r="I510" s="36"/>
      <c r="J510" s="35">
        <f>SUM(Table1[[#This Row],[LC Value]:[Amd Value]])</f>
        <v>85557.5</v>
      </c>
      <c r="K510" s="36">
        <v>3.6</v>
      </c>
      <c r="L510" s="37">
        <v>23600</v>
      </c>
      <c r="M510" s="47" t="s">
        <v>823</v>
      </c>
      <c r="N510" s="47" t="s">
        <v>843</v>
      </c>
      <c r="O510" s="48" t="str">
        <f>IFERROR(_xlfn.XLOOKUP(C510, Data!$A$2:$A$236, Data!$C$2:$C$236), "")</f>
        <v>Mr. Reza Sir</v>
      </c>
    </row>
    <row r="511" spans="1:15" ht="42" customHeight="1" x14ac:dyDescent="0.35">
      <c r="A511" s="41">
        <f t="shared" si="2"/>
        <v>258</v>
      </c>
      <c r="B511" s="110" t="s">
        <v>1339</v>
      </c>
      <c r="C511" s="44" t="s">
        <v>68</v>
      </c>
      <c r="D511" s="45" t="s">
        <v>414</v>
      </c>
      <c r="E511" s="46" t="s">
        <v>1340</v>
      </c>
      <c r="F511" s="33" t="s">
        <v>1341</v>
      </c>
      <c r="G511" s="40">
        <v>46093</v>
      </c>
      <c r="H511" s="35">
        <v>24207.5</v>
      </c>
      <c r="I511" s="36"/>
      <c r="J511" s="35">
        <f>SUM(Table1[[#This Row],[LC Value]:[Amd Value]])</f>
        <v>24207.5</v>
      </c>
      <c r="K511" s="36">
        <v>3.65</v>
      </c>
      <c r="L511" s="37">
        <v>6550</v>
      </c>
      <c r="M511" s="47" t="s">
        <v>969</v>
      </c>
      <c r="N511" s="47" t="s">
        <v>1246</v>
      </c>
      <c r="O511" s="48" t="str">
        <f>IFERROR(_xlfn.XLOOKUP(C511, Data!$A$2:$A$236, Data!$C$2:$C$236), "")</f>
        <v>Director Sir</v>
      </c>
    </row>
    <row r="512" spans="1:15" ht="42" customHeight="1" x14ac:dyDescent="0.35">
      <c r="A512" s="41">
        <f t="shared" si="2"/>
        <v>257</v>
      </c>
      <c r="B512" s="110" t="s">
        <v>1337</v>
      </c>
      <c r="C512" s="44" t="s">
        <v>97</v>
      </c>
      <c r="D512" s="45" t="s">
        <v>280</v>
      </c>
      <c r="E512" s="46" t="s">
        <v>1338</v>
      </c>
      <c r="F512" s="33" t="s">
        <v>836</v>
      </c>
      <c r="G512" s="40">
        <v>46089</v>
      </c>
      <c r="H512" s="35">
        <v>62747.5</v>
      </c>
      <c r="I512" s="36"/>
      <c r="J512" s="35">
        <f>SUM(Table1[[#This Row],[LC Value]:[Amd Value]])</f>
        <v>62747.5</v>
      </c>
      <c r="K512" s="36">
        <v>3</v>
      </c>
      <c r="L512" s="37">
        <v>20520</v>
      </c>
      <c r="M512" s="47" t="s">
        <v>969</v>
      </c>
      <c r="N512" s="47" t="s">
        <v>1246</v>
      </c>
      <c r="O512" s="48" t="str">
        <f>IFERROR(_xlfn.XLOOKUP(C512, Data!$A$2:$A$236, Data!$C$2:$C$236), "")</f>
        <v>Mr. Reza Sir</v>
      </c>
    </row>
    <row r="513" spans="1:15" ht="42" customHeight="1" x14ac:dyDescent="0.35">
      <c r="A513" s="41">
        <f t="shared" si="2"/>
        <v>256</v>
      </c>
      <c r="B513" s="110" t="s">
        <v>1335</v>
      </c>
      <c r="C513" s="44" t="s">
        <v>44</v>
      </c>
      <c r="D513" s="45" t="s">
        <v>1302</v>
      </c>
      <c r="E513" s="46" t="s">
        <v>1336</v>
      </c>
      <c r="F513" s="33" t="s">
        <v>836</v>
      </c>
      <c r="G513" s="40">
        <v>46089</v>
      </c>
      <c r="H513" s="35">
        <v>27900</v>
      </c>
      <c r="I513" s="36">
        <v>108795</v>
      </c>
      <c r="J513" s="35">
        <f>SUM(Table1[[#This Row],[LC Value]:[Amd Value]])</f>
        <v>136695</v>
      </c>
      <c r="K513" s="36">
        <v>3.1</v>
      </c>
      <c r="L513" s="37">
        <v>9000</v>
      </c>
      <c r="M513" s="47" t="s">
        <v>676</v>
      </c>
      <c r="N513" s="47" t="s">
        <v>843</v>
      </c>
      <c r="O513" s="48" t="str">
        <f>IFERROR(_xlfn.XLOOKUP(C513, Data!$A$2:$A$236, Data!$C$2:$C$236), "")</f>
        <v>Mr. Amran Sir</v>
      </c>
    </row>
    <row r="514" spans="1:15" ht="42" customHeight="1" x14ac:dyDescent="0.35">
      <c r="A514" s="41">
        <f t="shared" si="2"/>
        <v>255</v>
      </c>
      <c r="B514" s="110" t="s">
        <v>1333</v>
      </c>
      <c r="C514" s="44" t="s">
        <v>44</v>
      </c>
      <c r="D514" s="45" t="s">
        <v>1302</v>
      </c>
      <c r="E514" s="46" t="s">
        <v>1334</v>
      </c>
      <c r="F514" s="33" t="s">
        <v>836</v>
      </c>
      <c r="G514" s="40">
        <v>46089</v>
      </c>
      <c r="H514" s="35">
        <v>81900</v>
      </c>
      <c r="I514" s="36">
        <v>94500</v>
      </c>
      <c r="J514" s="35">
        <f>SUM(Table1[[#This Row],[LC Value]:[Amd Value]])</f>
        <v>176400</v>
      </c>
      <c r="K514" s="36">
        <v>3.15</v>
      </c>
      <c r="L514" s="37">
        <v>26000</v>
      </c>
      <c r="M514" s="47" t="s">
        <v>676</v>
      </c>
      <c r="N514" s="47" t="s">
        <v>843</v>
      </c>
      <c r="O514" s="48" t="str">
        <f>IFERROR(_xlfn.XLOOKUP(C514, Data!$A$2:$A$236, Data!$C$2:$C$236), "")</f>
        <v>Mr. Amran Sir</v>
      </c>
    </row>
    <row r="515" spans="1:15" ht="42" customHeight="1" x14ac:dyDescent="0.35">
      <c r="A515" s="41">
        <f t="shared" si="2"/>
        <v>254</v>
      </c>
      <c r="B515" s="110" t="s">
        <v>1330</v>
      </c>
      <c r="C515" s="44" t="s">
        <v>64</v>
      </c>
      <c r="D515" s="45" t="s">
        <v>21</v>
      </c>
      <c r="E515" s="46" t="s">
        <v>1331</v>
      </c>
      <c r="F515" s="33" t="s">
        <v>836</v>
      </c>
      <c r="G515" s="40">
        <v>46089</v>
      </c>
      <c r="H515" s="35">
        <v>214520</v>
      </c>
      <c r="I515" s="36"/>
      <c r="J515" s="35">
        <f>SUM(Table1[[#This Row],[LC Value]:[Amd Value]])</f>
        <v>214520</v>
      </c>
      <c r="K515" s="36">
        <v>3.6</v>
      </c>
      <c r="L515" s="37">
        <v>58600</v>
      </c>
      <c r="M515" s="47" t="s">
        <v>1131</v>
      </c>
      <c r="N515" s="47" t="s">
        <v>1332</v>
      </c>
      <c r="O515" s="48" t="str">
        <f>IFERROR(_xlfn.XLOOKUP(C515, Data!$A$2:$A$236, Data!$C$2:$C$236), "")</f>
        <v>Mr. Reza Sir</v>
      </c>
    </row>
    <row r="516" spans="1:15" ht="42" customHeight="1" x14ac:dyDescent="0.35">
      <c r="A516" s="41">
        <f t="shared" si="2"/>
        <v>253</v>
      </c>
      <c r="B516" s="110" t="s">
        <v>1328</v>
      </c>
      <c r="C516" s="44" t="s">
        <v>174</v>
      </c>
      <c r="D516" s="45" t="s">
        <v>2691</v>
      </c>
      <c r="E516" s="46" t="s">
        <v>1329</v>
      </c>
      <c r="F516" s="33" t="s">
        <v>836</v>
      </c>
      <c r="G516" s="40">
        <v>46086</v>
      </c>
      <c r="H516" s="35">
        <v>14600</v>
      </c>
      <c r="I516" s="36"/>
      <c r="J516" s="35">
        <f>SUM(Table1[[#This Row],[LC Value]:[Amd Value]])</f>
        <v>14600</v>
      </c>
      <c r="K516" s="36">
        <v>3.65</v>
      </c>
      <c r="L516" s="37">
        <v>4000</v>
      </c>
      <c r="M516" s="47" t="s">
        <v>823</v>
      </c>
      <c r="N516" s="47" t="s">
        <v>843</v>
      </c>
      <c r="O516" s="48" t="str">
        <f>IFERROR(_xlfn.XLOOKUP(C516, Data!$A$2:$A$236, Data!$C$2:$C$236), "")</f>
        <v>Mr. Reza Sir</v>
      </c>
    </row>
    <row r="517" spans="1:15" ht="42" customHeight="1" x14ac:dyDescent="0.35">
      <c r="A517" s="41">
        <f t="shared" si="2"/>
        <v>252</v>
      </c>
      <c r="B517" s="110" t="s">
        <v>1326</v>
      </c>
      <c r="C517" s="44" t="s">
        <v>220</v>
      </c>
      <c r="D517" s="45" t="s">
        <v>135</v>
      </c>
      <c r="E517" s="46" t="s">
        <v>1327</v>
      </c>
      <c r="F517" s="33" t="s">
        <v>836</v>
      </c>
      <c r="G517" s="40">
        <v>46093</v>
      </c>
      <c r="H517" s="35">
        <v>34912.5</v>
      </c>
      <c r="I517" s="36"/>
      <c r="J517" s="35">
        <f>SUM(Table1[[#This Row],[LC Value]:[Amd Value]])</f>
        <v>34912.5</v>
      </c>
      <c r="K517" s="36">
        <v>2.85</v>
      </c>
      <c r="L517" s="37">
        <v>12250</v>
      </c>
      <c r="M517" s="47" t="s">
        <v>1010</v>
      </c>
      <c r="N517" s="47" t="s">
        <v>1172</v>
      </c>
      <c r="O517" s="48" t="str">
        <f>IFERROR(_xlfn.XLOOKUP(C517, Data!$A$2:$A$236, Data!$C$2:$C$236), "")</f>
        <v>Mr. Reza Sir</v>
      </c>
    </row>
    <row r="518" spans="1:15" ht="42" customHeight="1" x14ac:dyDescent="0.35">
      <c r="A518" s="41">
        <f t="shared" si="2"/>
        <v>251</v>
      </c>
      <c r="B518" s="110" t="s">
        <v>1320</v>
      </c>
      <c r="C518" s="44" t="s">
        <v>199</v>
      </c>
      <c r="D518" s="45" t="s">
        <v>32</v>
      </c>
      <c r="E518" s="46" t="s">
        <v>1321</v>
      </c>
      <c r="F518" s="33" t="s">
        <v>836</v>
      </c>
      <c r="G518" s="40">
        <v>46089</v>
      </c>
      <c r="H518" s="35">
        <v>36750</v>
      </c>
      <c r="I518" s="36"/>
      <c r="J518" s="35">
        <f>SUM(Table1[[#This Row],[LC Value]:[Amd Value]])</f>
        <v>36750</v>
      </c>
      <c r="K518" s="36">
        <v>3</v>
      </c>
      <c r="L518" s="37">
        <v>14700</v>
      </c>
      <c r="M518" s="47" t="s">
        <v>1010</v>
      </c>
      <c r="N518" s="47" t="s">
        <v>1172</v>
      </c>
      <c r="O518" s="48" t="str">
        <f>IFERROR(_xlfn.XLOOKUP(C518, Data!$A$2:$A$236, Data!$C$2:$C$236), "")</f>
        <v>MD. Sir</v>
      </c>
    </row>
    <row r="519" spans="1:15" ht="42" customHeight="1" x14ac:dyDescent="0.35">
      <c r="A519" s="41">
        <f t="shared" si="2"/>
        <v>250</v>
      </c>
      <c r="B519" s="110" t="s">
        <v>1318</v>
      </c>
      <c r="C519" s="44" t="s">
        <v>199</v>
      </c>
      <c r="D519" s="45" t="s">
        <v>32</v>
      </c>
      <c r="E519" s="46" t="s">
        <v>1319</v>
      </c>
      <c r="F519" s="33" t="s">
        <v>836</v>
      </c>
      <c r="G519" s="40">
        <v>46093</v>
      </c>
      <c r="H519" s="35">
        <v>314137.5</v>
      </c>
      <c r="I519" s="36"/>
      <c r="J519" s="35">
        <f>SUM(Table1[[#This Row],[LC Value]:[Amd Value]])</f>
        <v>314137.5</v>
      </c>
      <c r="K519" s="36">
        <v>3</v>
      </c>
      <c r="L519" s="37">
        <v>115200</v>
      </c>
      <c r="M519" s="47" t="s">
        <v>1010</v>
      </c>
      <c r="N519" s="47" t="s">
        <v>1172</v>
      </c>
      <c r="O519" s="48" t="str">
        <f>IFERROR(_xlfn.XLOOKUP(C519, Data!$A$2:$A$236, Data!$C$2:$C$236), "")</f>
        <v>MD. Sir</v>
      </c>
    </row>
    <row r="520" spans="1:15" ht="42" customHeight="1" x14ac:dyDescent="0.35">
      <c r="A520" s="41">
        <f t="shared" si="2"/>
        <v>249</v>
      </c>
      <c r="B520" s="110" t="s">
        <v>1314</v>
      </c>
      <c r="C520" s="44" t="s">
        <v>197</v>
      </c>
      <c r="D520" s="45" t="s">
        <v>198</v>
      </c>
      <c r="E520" s="46" t="s">
        <v>1315</v>
      </c>
      <c r="F520" s="33" t="s">
        <v>360</v>
      </c>
      <c r="G520" s="40">
        <v>46084</v>
      </c>
      <c r="H520" s="35">
        <v>31500</v>
      </c>
      <c r="I520" s="36"/>
      <c r="J520" s="35">
        <f>SUM(Table1[[#This Row],[LC Value]:[Amd Value]])</f>
        <v>31500</v>
      </c>
      <c r="K520" s="36">
        <v>3.5</v>
      </c>
      <c r="L520" s="37">
        <v>9000</v>
      </c>
      <c r="M520" s="47" t="s">
        <v>1010</v>
      </c>
      <c r="N520" s="47" t="s">
        <v>1172</v>
      </c>
      <c r="O520" s="48" t="str">
        <f>IFERROR(_xlfn.XLOOKUP(C520, Data!$A$2:$A$236, Data!$C$2:$C$236), "")</f>
        <v>Mr. Sohel Sir</v>
      </c>
    </row>
    <row r="521" spans="1:15" ht="42" customHeight="1" x14ac:dyDescent="0.35">
      <c r="A521" s="41">
        <f t="shared" si="2"/>
        <v>248</v>
      </c>
      <c r="B521" s="110" t="s">
        <v>1307</v>
      </c>
      <c r="C521" s="44" t="s">
        <v>57</v>
      </c>
      <c r="D521" s="45" t="s">
        <v>98</v>
      </c>
      <c r="E521" s="46" t="s">
        <v>1308</v>
      </c>
      <c r="F521" s="33" t="s">
        <v>1292</v>
      </c>
      <c r="G521" s="40">
        <v>46090</v>
      </c>
      <c r="H521" s="35">
        <v>15000</v>
      </c>
      <c r="I521" s="36">
        <v>-2655</v>
      </c>
      <c r="J521" s="35">
        <f>SUM(Table1[[#This Row],[LC Value]:[Amd Value]])</f>
        <v>12345</v>
      </c>
      <c r="K521" s="36">
        <v>3.75</v>
      </c>
      <c r="L521" s="37">
        <v>4000</v>
      </c>
      <c r="M521" s="47" t="s">
        <v>1010</v>
      </c>
      <c r="N521" s="47" t="s">
        <v>1172</v>
      </c>
      <c r="O521" s="48" t="str">
        <f>IFERROR(_xlfn.XLOOKUP(C521, Data!$A$2:$A$236, Data!$C$2:$C$236), "")</f>
        <v>Mr. Reza Sir</v>
      </c>
    </row>
    <row r="522" spans="1:15" ht="42" customHeight="1" x14ac:dyDescent="0.35">
      <c r="A522" s="41">
        <f t="shared" si="2"/>
        <v>247</v>
      </c>
      <c r="B522" s="110" t="s">
        <v>1303</v>
      </c>
      <c r="C522" s="44" t="s">
        <v>199</v>
      </c>
      <c r="D522" s="45" t="s">
        <v>32</v>
      </c>
      <c r="E522" s="46" t="s">
        <v>1304</v>
      </c>
      <c r="F522" s="33" t="s">
        <v>1292</v>
      </c>
      <c r="G522" s="40">
        <v>46090</v>
      </c>
      <c r="H522" s="35">
        <v>9375</v>
      </c>
      <c r="I522" s="36"/>
      <c r="J522" s="35">
        <f>SUM(Table1[[#This Row],[LC Value]:[Amd Value]])</f>
        <v>9375</v>
      </c>
      <c r="K522" s="36">
        <v>2.2999999999999998</v>
      </c>
      <c r="L522" s="37">
        <v>3850</v>
      </c>
      <c r="M522" s="47" t="s">
        <v>878</v>
      </c>
      <c r="N522" s="47" t="s">
        <v>956</v>
      </c>
      <c r="O522" s="48" t="str">
        <f>IFERROR(_xlfn.XLOOKUP(C522, Data!$A$2:$A$236, Data!$C$2:$C$236), "")</f>
        <v>MD. Sir</v>
      </c>
    </row>
    <row r="523" spans="1:15" ht="42" customHeight="1" x14ac:dyDescent="0.35">
      <c r="A523" s="41">
        <f t="shared" si="2"/>
        <v>246</v>
      </c>
      <c r="B523" s="110" t="s">
        <v>1299</v>
      </c>
      <c r="C523" s="44" t="s">
        <v>44</v>
      </c>
      <c r="D523" s="45" t="s">
        <v>1302</v>
      </c>
      <c r="E523" s="46" t="s">
        <v>1300</v>
      </c>
      <c r="F523" s="33" t="s">
        <v>1292</v>
      </c>
      <c r="G523" s="40">
        <v>46090</v>
      </c>
      <c r="H523" s="35">
        <f>31500+31000</f>
        <v>62500</v>
      </c>
      <c r="I523" s="36"/>
      <c r="J523" s="35">
        <f>SUM(Table1[[#This Row],[LC Value]:[Amd Value]])</f>
        <v>62500</v>
      </c>
      <c r="K523" s="36">
        <v>3.15</v>
      </c>
      <c r="L523" s="37">
        <v>20000</v>
      </c>
      <c r="M523" s="47" t="s">
        <v>614</v>
      </c>
      <c r="N523" s="47" t="s">
        <v>1301</v>
      </c>
      <c r="O523" s="48" t="str">
        <f>IFERROR(_xlfn.XLOOKUP(C523, Data!$A$2:$A$236, Data!$C$2:$C$236), "")</f>
        <v>Mr. Amran Sir</v>
      </c>
    </row>
    <row r="524" spans="1:15" ht="42" customHeight="1" x14ac:dyDescent="0.35">
      <c r="A524" s="41">
        <f t="shared" si="2"/>
        <v>245</v>
      </c>
      <c r="B524" s="110" t="s">
        <v>1297</v>
      </c>
      <c r="C524" s="44" t="s">
        <v>220</v>
      </c>
      <c r="D524" s="45" t="s">
        <v>135</v>
      </c>
      <c r="E524" s="46" t="s">
        <v>1298</v>
      </c>
      <c r="F524" s="33" t="s">
        <v>1292</v>
      </c>
      <c r="G524" s="40">
        <v>46090</v>
      </c>
      <c r="H524" s="35">
        <v>24810</v>
      </c>
      <c r="I524" s="36"/>
      <c r="J524" s="35">
        <f>SUM(Table1[[#This Row],[LC Value]:[Amd Value]])</f>
        <v>24810</v>
      </c>
      <c r="K524" s="36">
        <v>2.85</v>
      </c>
      <c r="L524" s="37">
        <v>8600</v>
      </c>
      <c r="M524" s="47" t="s">
        <v>823</v>
      </c>
      <c r="N524" s="47" t="s">
        <v>843</v>
      </c>
      <c r="O524" s="48" t="str">
        <f>IFERROR(_xlfn.XLOOKUP(C524, Data!$A$2:$A$236, Data!$C$2:$C$236), "")</f>
        <v>Mr. Reza Sir</v>
      </c>
    </row>
    <row r="525" spans="1:15" ht="42" customHeight="1" x14ac:dyDescent="0.35">
      <c r="A525" s="41">
        <f t="shared" si="2"/>
        <v>244</v>
      </c>
      <c r="B525" s="110" t="s">
        <v>1295</v>
      </c>
      <c r="C525" s="44" t="s">
        <v>77</v>
      </c>
      <c r="D525" s="45" t="s">
        <v>91</v>
      </c>
      <c r="E525" s="46" t="s">
        <v>1296</v>
      </c>
      <c r="F525" s="33" t="s">
        <v>441</v>
      </c>
      <c r="G525" s="40">
        <v>46086</v>
      </c>
      <c r="H525" s="35">
        <f>61000+13245</f>
        <v>74245</v>
      </c>
      <c r="I525" s="36"/>
      <c r="J525" s="35">
        <f>SUM(Table1[[#This Row],[LC Value]:[Amd Value]])</f>
        <v>74245</v>
      </c>
      <c r="K525" s="36">
        <v>3.05</v>
      </c>
      <c r="L525" s="37">
        <v>24200</v>
      </c>
      <c r="M525" s="47" t="s">
        <v>618</v>
      </c>
      <c r="N525" s="47" t="s">
        <v>931</v>
      </c>
      <c r="O525" s="48" t="str">
        <f>IFERROR(_xlfn.XLOOKUP(C525, Data!$A$2:$A$236, Data!$C$2:$C$236), "")</f>
        <v>Mr. Lipu Sir</v>
      </c>
    </row>
    <row r="526" spans="1:15" ht="42" customHeight="1" x14ac:dyDescent="0.35">
      <c r="A526" s="41">
        <f t="shared" si="2"/>
        <v>243</v>
      </c>
      <c r="B526" s="110" t="s">
        <v>1293</v>
      </c>
      <c r="C526" s="44" t="s">
        <v>209</v>
      </c>
      <c r="D526" s="45" t="s">
        <v>1168</v>
      </c>
      <c r="E526" s="46" t="s">
        <v>1294</v>
      </c>
      <c r="F526" s="33" t="s">
        <v>441</v>
      </c>
      <c r="G526" s="40">
        <v>46086</v>
      </c>
      <c r="H526" s="35">
        <f>27425+69161</f>
        <v>96586</v>
      </c>
      <c r="I526" s="36"/>
      <c r="J526" s="35">
        <f>SUM(Table1[[#This Row],[LC Value]:[Amd Value]])</f>
        <v>96586</v>
      </c>
      <c r="K526" s="36">
        <v>3.53</v>
      </c>
      <c r="L526" s="37">
        <v>26500</v>
      </c>
      <c r="M526" s="47" t="s">
        <v>618</v>
      </c>
      <c r="N526" s="47" t="s">
        <v>931</v>
      </c>
      <c r="O526" s="48" t="str">
        <f>IFERROR(_xlfn.XLOOKUP(C526, Data!$A$2:$A$236, Data!$C$2:$C$236), "")</f>
        <v>Director Sir</v>
      </c>
    </row>
    <row r="527" spans="1:15" ht="42" customHeight="1" x14ac:dyDescent="0.35">
      <c r="A527" s="41">
        <f t="shared" si="2"/>
        <v>242</v>
      </c>
      <c r="B527" s="110" t="s">
        <v>1290</v>
      </c>
      <c r="C527" s="44" t="s">
        <v>1289</v>
      </c>
      <c r="D527" s="45" t="s">
        <v>353</v>
      </c>
      <c r="E527" s="46" t="s">
        <v>1291</v>
      </c>
      <c r="F527" s="33" t="s">
        <v>1292</v>
      </c>
      <c r="G527" s="40">
        <v>46089</v>
      </c>
      <c r="H527" s="35">
        <v>25237.5</v>
      </c>
      <c r="I527" s="36"/>
      <c r="J527" s="35">
        <f>SUM(Table1[[#This Row],[LC Value]:[Amd Value]])</f>
        <v>25237.5</v>
      </c>
      <c r="K527" s="36">
        <v>4.75</v>
      </c>
      <c r="L527" s="37">
        <v>5250</v>
      </c>
      <c r="M527" s="47" t="s">
        <v>618</v>
      </c>
      <c r="N527" s="47" t="s">
        <v>931</v>
      </c>
      <c r="O527" s="48" t="str">
        <f>IFERROR(_xlfn.XLOOKUP(C527, Data!$A$2:$A$236, Data!$C$2:$C$236), "")</f>
        <v>Mr. Reza Sir</v>
      </c>
    </row>
    <row r="528" spans="1:15" ht="42" customHeight="1" x14ac:dyDescent="0.35">
      <c r="A528" s="41">
        <f t="shared" si="2"/>
        <v>241</v>
      </c>
      <c r="B528" s="110" t="s">
        <v>1287</v>
      </c>
      <c r="C528" s="44" t="s">
        <v>134</v>
      </c>
      <c r="D528" s="45" t="s">
        <v>135</v>
      </c>
      <c r="E528" s="46" t="s">
        <v>1288</v>
      </c>
      <c r="F528" s="33" t="s">
        <v>441</v>
      </c>
      <c r="G528" s="40">
        <v>46086</v>
      </c>
      <c r="H528" s="35">
        <v>62100</v>
      </c>
      <c r="I528" s="36"/>
      <c r="J528" s="35">
        <f>SUM(Table1[[#This Row],[LC Value]:[Amd Value]])</f>
        <v>62100</v>
      </c>
      <c r="K528" s="36">
        <v>3.6</v>
      </c>
      <c r="L528" s="37">
        <v>18000</v>
      </c>
      <c r="M528" s="47" t="s">
        <v>614</v>
      </c>
      <c r="N528" s="47" t="s">
        <v>618</v>
      </c>
      <c r="O528" s="48" t="str">
        <f>IFERROR(_xlfn.XLOOKUP(C528, Data!$A$2:$A$236, Data!$C$2:$C$236), "")</f>
        <v>Mr. Lipu Sir</v>
      </c>
    </row>
    <row r="529" spans="1:15" ht="42" customHeight="1" x14ac:dyDescent="0.35">
      <c r="A529" s="41">
        <f t="shared" si="2"/>
        <v>240</v>
      </c>
      <c r="B529" s="110" t="s">
        <v>1285</v>
      </c>
      <c r="C529" s="44" t="s">
        <v>199</v>
      </c>
      <c r="D529" s="45" t="s">
        <v>353</v>
      </c>
      <c r="E529" s="46" t="s">
        <v>1286</v>
      </c>
      <c r="F529" s="33" t="s">
        <v>441</v>
      </c>
      <c r="G529" s="40">
        <v>46086</v>
      </c>
      <c r="H529" s="35">
        <v>13320</v>
      </c>
      <c r="I529" s="36">
        <v>21420</v>
      </c>
      <c r="J529" s="35">
        <f>SUM(Table1[[#This Row],[LC Value]:[Amd Value]])</f>
        <v>34740</v>
      </c>
      <c r="K529" s="36">
        <v>3.6</v>
      </c>
      <c r="L529" s="37">
        <v>3700</v>
      </c>
      <c r="M529" s="47" t="s">
        <v>931</v>
      </c>
      <c r="N529" s="47" t="s">
        <v>1263</v>
      </c>
      <c r="O529" s="48" t="str">
        <f>IFERROR(_xlfn.XLOOKUP(C529, Data!$A$2:$A$236, Data!$C$2:$C$236), "")</f>
        <v>MD. Sir</v>
      </c>
    </row>
    <row r="530" spans="1:15" ht="42" customHeight="1" x14ac:dyDescent="0.35">
      <c r="A530" s="41">
        <f t="shared" si="2"/>
        <v>239</v>
      </c>
      <c r="B530" s="110" t="s">
        <v>1268</v>
      </c>
      <c r="C530" s="44" t="s">
        <v>199</v>
      </c>
      <c r="D530" s="45" t="s">
        <v>32</v>
      </c>
      <c r="E530" s="46" t="s">
        <v>1269</v>
      </c>
      <c r="F530" s="33" t="s">
        <v>441</v>
      </c>
      <c r="G530" s="40">
        <v>46086</v>
      </c>
      <c r="H530" s="35">
        <f>33532.5+68640</f>
        <v>102172.5</v>
      </c>
      <c r="I530" s="36"/>
      <c r="J530" s="35">
        <f>SUM(Table1[[#This Row],[LC Value]:[Amd Value]])</f>
        <v>102172.5</v>
      </c>
      <c r="K530" s="36">
        <v>2.9</v>
      </c>
      <c r="L530" s="37">
        <v>3650</v>
      </c>
      <c r="M530" s="47" t="s">
        <v>931</v>
      </c>
      <c r="N530" s="47" t="s">
        <v>1263</v>
      </c>
      <c r="O530" s="48" t="str">
        <f>IFERROR(_xlfn.XLOOKUP(C530, Data!$A$2:$A$236, Data!$C$2:$C$236), "")</f>
        <v>MD. Sir</v>
      </c>
    </row>
    <row r="531" spans="1:15" ht="42" customHeight="1" x14ac:dyDescent="0.35">
      <c r="A531" s="41">
        <f t="shared" si="2"/>
        <v>238</v>
      </c>
      <c r="B531" s="110" t="s">
        <v>1266</v>
      </c>
      <c r="C531" s="44" t="s">
        <v>199</v>
      </c>
      <c r="D531" s="45" t="s">
        <v>32</v>
      </c>
      <c r="E531" s="46" t="s">
        <v>1267</v>
      </c>
      <c r="F531" s="33" t="s">
        <v>441</v>
      </c>
      <c r="G531" s="40">
        <v>46086</v>
      </c>
      <c r="H531" s="35">
        <v>11600</v>
      </c>
      <c r="I531" s="36"/>
      <c r="J531" s="35">
        <f>SUM(Table1[[#This Row],[LC Value]:[Amd Value]])</f>
        <v>11600</v>
      </c>
      <c r="K531" s="36">
        <v>2.9</v>
      </c>
      <c r="L531" s="37">
        <v>3650</v>
      </c>
      <c r="M531" s="47" t="s">
        <v>931</v>
      </c>
      <c r="N531" s="47" t="s">
        <v>1263</v>
      </c>
      <c r="O531" s="48" t="str">
        <f>IFERROR(_xlfn.XLOOKUP(C531, Data!$A$2:$A$236, Data!$C$2:$C$236), "")</f>
        <v>MD. Sir</v>
      </c>
    </row>
    <row r="532" spans="1:15" ht="42" customHeight="1" x14ac:dyDescent="0.35">
      <c r="A532" s="41">
        <f t="shared" si="2"/>
        <v>237</v>
      </c>
      <c r="B532" s="110" t="s">
        <v>1264</v>
      </c>
      <c r="C532" s="44" t="s">
        <v>199</v>
      </c>
      <c r="D532" s="45" t="s">
        <v>353</v>
      </c>
      <c r="E532" s="46" t="s">
        <v>1265</v>
      </c>
      <c r="F532" s="33" t="s">
        <v>441</v>
      </c>
      <c r="G532" s="40">
        <v>46086</v>
      </c>
      <c r="H532" s="35">
        <v>50440</v>
      </c>
      <c r="I532" s="36"/>
      <c r="J532" s="35">
        <f>SUM(Table1[[#This Row],[LC Value]:[Amd Value]])</f>
        <v>50440</v>
      </c>
      <c r="K532" s="36">
        <v>2.6</v>
      </c>
      <c r="L532" s="37">
        <v>19400</v>
      </c>
      <c r="M532" s="47" t="s">
        <v>931</v>
      </c>
      <c r="N532" s="47" t="s">
        <v>1263</v>
      </c>
      <c r="O532" s="48" t="str">
        <f>IFERROR(_xlfn.XLOOKUP(C532, Data!$A$2:$A$236, Data!$C$2:$C$236), "")</f>
        <v>MD. Sir</v>
      </c>
    </row>
    <row r="533" spans="1:15" ht="42" customHeight="1" x14ac:dyDescent="0.35">
      <c r="A533" s="41">
        <f t="shared" si="2"/>
        <v>236</v>
      </c>
      <c r="B533" s="110" t="s">
        <v>1261</v>
      </c>
      <c r="C533" s="44" t="s">
        <v>199</v>
      </c>
      <c r="D533" s="45" t="s">
        <v>98</v>
      </c>
      <c r="E533" s="46" t="s">
        <v>1262</v>
      </c>
      <c r="F533" s="33" t="s">
        <v>441</v>
      </c>
      <c r="G533" s="40">
        <v>46086</v>
      </c>
      <c r="H533" s="35">
        <f>132047.5+160907.5</f>
        <v>292955</v>
      </c>
      <c r="I533" s="36"/>
      <c r="J533" s="35">
        <f>SUM(Table1[[#This Row],[LC Value]:[Amd Value]])</f>
        <v>292955</v>
      </c>
      <c r="K533" s="36">
        <v>2.9</v>
      </c>
      <c r="L533" s="37">
        <v>101300</v>
      </c>
      <c r="M533" s="47" t="s">
        <v>931</v>
      </c>
      <c r="N533" s="47" t="s">
        <v>1263</v>
      </c>
      <c r="O533" s="48" t="str">
        <f>IFERROR(_xlfn.XLOOKUP(C533, Data!$A$2:$A$236, Data!$C$2:$C$236), "")</f>
        <v>MD. Sir</v>
      </c>
    </row>
    <row r="534" spans="1:15" ht="42" customHeight="1" x14ac:dyDescent="0.35">
      <c r="A534" s="41">
        <f t="shared" si="2"/>
        <v>235</v>
      </c>
      <c r="B534" s="110" t="s">
        <v>1251</v>
      </c>
      <c r="C534" s="44" t="s">
        <v>1252</v>
      </c>
      <c r="D534" s="45" t="s">
        <v>739</v>
      </c>
      <c r="E534" s="46" t="s">
        <v>1253</v>
      </c>
      <c r="F534" s="33" t="s">
        <v>360</v>
      </c>
      <c r="G534" s="40">
        <v>46084</v>
      </c>
      <c r="H534" s="35">
        <f>29800+30396+30694</f>
        <v>90890</v>
      </c>
      <c r="I534" s="36"/>
      <c r="J534" s="35">
        <f>SUM(Table1[[#This Row],[LC Value]:[Amd Value]])</f>
        <v>90890</v>
      </c>
      <c r="K534" s="36">
        <v>2.98</v>
      </c>
      <c r="L534" s="37">
        <v>30500</v>
      </c>
      <c r="M534" s="47" t="s">
        <v>1256</v>
      </c>
      <c r="N534" s="47" t="s">
        <v>1255</v>
      </c>
      <c r="O534" s="48" t="str">
        <f>IFERROR(_xlfn.XLOOKUP(C534, Data!$A$2:$A$236, Data!$C$2:$C$236), "")</f>
        <v>Mr. Wadud Sir</v>
      </c>
    </row>
    <row r="535" spans="1:15" ht="42" customHeight="1" x14ac:dyDescent="0.35">
      <c r="A535" s="41">
        <f t="shared" si="2"/>
        <v>234</v>
      </c>
      <c r="B535" s="110" t="s">
        <v>1249</v>
      </c>
      <c r="C535" s="44" t="s">
        <v>200</v>
      </c>
      <c r="D535" s="45" t="s">
        <v>98</v>
      </c>
      <c r="E535" s="46" t="s">
        <v>1250</v>
      </c>
      <c r="F535" s="33" t="s">
        <v>360</v>
      </c>
      <c r="G535" s="40">
        <v>46084</v>
      </c>
      <c r="H535" s="35">
        <v>61200</v>
      </c>
      <c r="I535" s="36"/>
      <c r="J535" s="35">
        <f>SUM(Table1[[#This Row],[LC Value]:[Amd Value]])</f>
        <v>61200</v>
      </c>
      <c r="K535" s="36">
        <v>3.45</v>
      </c>
      <c r="L535" s="37">
        <v>17000</v>
      </c>
      <c r="M535" s="47" t="s">
        <v>843</v>
      </c>
      <c r="N535" s="47" t="s">
        <v>1010</v>
      </c>
      <c r="O535" s="48" t="str">
        <f>IFERROR(_xlfn.XLOOKUP(C535, Data!$A$2:$A$236, Data!$C$2:$C$236), "")</f>
        <v>MD. Sir</v>
      </c>
    </row>
    <row r="536" spans="1:15" ht="42" customHeight="1" x14ac:dyDescent="0.35">
      <c r="A536" s="41">
        <f t="shared" si="2"/>
        <v>233</v>
      </c>
      <c r="B536" s="110" t="s">
        <v>1247</v>
      </c>
      <c r="C536" s="44" t="s">
        <v>92</v>
      </c>
      <c r="D536" s="45" t="s">
        <v>93</v>
      </c>
      <c r="E536" s="46" t="s">
        <v>1248</v>
      </c>
      <c r="F536" s="33" t="s">
        <v>360</v>
      </c>
      <c r="G536" s="40">
        <v>46084</v>
      </c>
      <c r="H536" s="35">
        <v>227700</v>
      </c>
      <c r="I536" s="36"/>
      <c r="J536" s="35">
        <f>SUM(Table1[[#This Row],[LC Value]:[Amd Value]])</f>
        <v>227700</v>
      </c>
      <c r="K536" s="36">
        <v>3.45</v>
      </c>
      <c r="L536" s="37">
        <v>66000</v>
      </c>
      <c r="M536" s="47" t="s">
        <v>843</v>
      </c>
      <c r="N536" s="47" t="s">
        <v>1010</v>
      </c>
      <c r="O536" s="48" t="str">
        <f>IFERROR(_xlfn.XLOOKUP(C536, Data!$A$2:$A$236, Data!$C$2:$C$236), "")</f>
        <v>Mr. Lipu Sir</v>
      </c>
    </row>
    <row r="537" spans="1:15" ht="42" customHeight="1" x14ac:dyDescent="0.35">
      <c r="A537" s="41">
        <f t="shared" si="2"/>
        <v>232</v>
      </c>
      <c r="B537" s="110" t="s">
        <v>1243</v>
      </c>
      <c r="C537" s="44" t="s">
        <v>169</v>
      </c>
      <c r="D537" s="45" t="s">
        <v>21</v>
      </c>
      <c r="E537" s="46" t="s">
        <v>1244</v>
      </c>
      <c r="F537" s="33" t="s">
        <v>360</v>
      </c>
      <c r="G537" s="40">
        <v>46084</v>
      </c>
      <c r="H537" s="35">
        <v>15840</v>
      </c>
      <c r="I537" s="36"/>
      <c r="J537" s="35">
        <f>SUM(Table1[[#This Row],[LC Value]:[Amd Value]])</f>
        <v>15840</v>
      </c>
      <c r="K537" s="36">
        <v>3.3</v>
      </c>
      <c r="L537" s="37">
        <v>4800</v>
      </c>
      <c r="M537" s="47" t="s">
        <v>1246</v>
      </c>
      <c r="N537" s="47" t="s">
        <v>1245</v>
      </c>
      <c r="O537" s="48" t="str">
        <f>IFERROR(_xlfn.XLOOKUP(C537, Data!$A$2:$A$236, Data!$C$2:$C$236), "")</f>
        <v>Mr. Lipu Sir</v>
      </c>
    </row>
    <row r="538" spans="1:15" ht="42" customHeight="1" x14ac:dyDescent="0.35">
      <c r="A538" s="41">
        <f t="shared" si="2"/>
        <v>231</v>
      </c>
      <c r="B538" s="110" t="s">
        <v>1241</v>
      </c>
      <c r="C538" s="44" t="s">
        <v>220</v>
      </c>
      <c r="D538" s="45" t="s">
        <v>135</v>
      </c>
      <c r="E538" s="46" t="s">
        <v>1242</v>
      </c>
      <c r="F538" s="33" t="s">
        <v>360</v>
      </c>
      <c r="G538" s="40">
        <v>46084</v>
      </c>
      <c r="H538" s="35">
        <v>19547.5</v>
      </c>
      <c r="I538" s="36"/>
      <c r="J538" s="35">
        <f>SUM(Table1[[#This Row],[LC Value]:[Amd Value]])</f>
        <v>19547.5</v>
      </c>
      <c r="K538" s="36">
        <v>2.5499999999999998</v>
      </c>
      <c r="L538" s="37">
        <v>6200</v>
      </c>
      <c r="M538" s="47" t="s">
        <v>843</v>
      </c>
      <c r="N538" s="47" t="s">
        <v>1010</v>
      </c>
      <c r="O538" s="48" t="str">
        <f>IFERROR(_xlfn.XLOOKUP(C538, Data!$A$2:$A$236, Data!$C$2:$C$236), "")</f>
        <v>Mr. Reza Sir</v>
      </c>
    </row>
    <row r="539" spans="1:15" ht="42" customHeight="1" x14ac:dyDescent="0.35">
      <c r="A539" s="41">
        <f t="shared" si="2"/>
        <v>230</v>
      </c>
      <c r="B539" s="110" t="s">
        <v>1237</v>
      </c>
      <c r="C539" s="44" t="s">
        <v>199</v>
      </c>
      <c r="D539" s="45" t="s">
        <v>32</v>
      </c>
      <c r="E539" s="46" t="s">
        <v>1238</v>
      </c>
      <c r="F539" s="33" t="s">
        <v>523</v>
      </c>
      <c r="G539" s="51">
        <v>46084</v>
      </c>
      <c r="H539" s="35">
        <v>10585</v>
      </c>
      <c r="I539" s="36"/>
      <c r="J539" s="35">
        <f>SUM(Table1[[#This Row],[LC Value]:[Amd Value]])</f>
        <v>10585</v>
      </c>
      <c r="K539" s="36">
        <v>2.5499999999999998</v>
      </c>
      <c r="L539" s="37">
        <v>4200</v>
      </c>
      <c r="M539" s="47" t="s">
        <v>843</v>
      </c>
      <c r="N539" s="47" t="s">
        <v>1010</v>
      </c>
      <c r="O539" s="48" t="str">
        <f>IFERROR(_xlfn.XLOOKUP(C539, Data!$A$2:$A$236, Data!$C$2:$C$236), "")</f>
        <v>MD. Sir</v>
      </c>
    </row>
    <row r="540" spans="1:15" ht="42" customHeight="1" x14ac:dyDescent="0.35">
      <c r="A540" s="41">
        <f t="shared" si="2"/>
        <v>229</v>
      </c>
      <c r="B540" s="110" t="s">
        <v>1235</v>
      </c>
      <c r="C540" s="44" t="s">
        <v>200</v>
      </c>
      <c r="D540" s="45" t="s">
        <v>98</v>
      </c>
      <c r="E540" s="46" t="s">
        <v>1236</v>
      </c>
      <c r="F540" s="33" t="s">
        <v>523</v>
      </c>
      <c r="G540" s="40">
        <v>46084</v>
      </c>
      <c r="H540" s="35">
        <v>43380</v>
      </c>
      <c r="I540" s="36"/>
      <c r="J540" s="35">
        <f>SUM(Table1[[#This Row],[LC Value]:[Amd Value]])</f>
        <v>43380</v>
      </c>
      <c r="K540" s="36">
        <v>3.6</v>
      </c>
      <c r="L540" s="37">
        <v>12050</v>
      </c>
      <c r="M540" s="47" t="s">
        <v>843</v>
      </c>
      <c r="N540" s="47" t="s">
        <v>1010</v>
      </c>
      <c r="O540" s="48" t="str">
        <f>IFERROR(_xlfn.XLOOKUP(C540, Data!$A$2:$A$236, Data!$C$2:$C$236), "")</f>
        <v>MD. Sir</v>
      </c>
    </row>
    <row r="541" spans="1:15" ht="42" customHeight="1" x14ac:dyDescent="0.35">
      <c r="A541" s="41">
        <f t="shared" si="2"/>
        <v>228</v>
      </c>
      <c r="B541" s="110" t="s">
        <v>1233</v>
      </c>
      <c r="C541" s="44" t="s">
        <v>200</v>
      </c>
      <c r="D541" s="45" t="s">
        <v>98</v>
      </c>
      <c r="E541" s="46" t="s">
        <v>1234</v>
      </c>
      <c r="F541" s="33" t="s">
        <v>523</v>
      </c>
      <c r="G541" s="40">
        <v>46084</v>
      </c>
      <c r="H541" s="35">
        <v>31010</v>
      </c>
      <c r="I541" s="36"/>
      <c r="J541" s="35">
        <f>SUM(Table1[[#This Row],[LC Value]:[Amd Value]])</f>
        <v>31010</v>
      </c>
      <c r="K541" s="36">
        <v>2.8</v>
      </c>
      <c r="L541" s="37">
        <v>22000</v>
      </c>
      <c r="M541" s="47" t="s">
        <v>843</v>
      </c>
      <c r="N541" s="47" t="s">
        <v>1010</v>
      </c>
      <c r="O541" s="48" t="str">
        <f>IFERROR(_xlfn.XLOOKUP(C541, Data!$A$2:$A$236, Data!$C$2:$C$236), "")</f>
        <v>MD. Sir</v>
      </c>
    </row>
    <row r="542" spans="1:15" ht="42" customHeight="1" x14ac:dyDescent="0.35">
      <c r="A542" s="41">
        <f t="shared" si="2"/>
        <v>227</v>
      </c>
      <c r="B542" s="110" t="s">
        <v>1231</v>
      </c>
      <c r="C542" s="44" t="s">
        <v>200</v>
      </c>
      <c r="D542" s="45" t="s">
        <v>98</v>
      </c>
      <c r="E542" s="46" t="s">
        <v>1232</v>
      </c>
      <c r="F542" s="33" t="s">
        <v>523</v>
      </c>
      <c r="G542" s="40">
        <v>46084</v>
      </c>
      <c r="H542" s="35">
        <f>61600+49500</f>
        <v>111100</v>
      </c>
      <c r="I542" s="36"/>
      <c r="J542" s="35">
        <f>SUM(Table1[[#This Row],[LC Value]:[Amd Value]])</f>
        <v>111100</v>
      </c>
      <c r="K542" s="36">
        <v>2.8</v>
      </c>
      <c r="L542" s="37">
        <v>22000</v>
      </c>
      <c r="M542" s="47" t="s">
        <v>843</v>
      </c>
      <c r="N542" s="47" t="s">
        <v>1010</v>
      </c>
      <c r="O542" s="48" t="str">
        <f>IFERROR(_xlfn.XLOOKUP(C542, Data!$A$2:$A$236, Data!$C$2:$C$236), "")</f>
        <v>MD. Sir</v>
      </c>
    </row>
    <row r="543" spans="1:15" ht="42" customHeight="1" x14ac:dyDescent="0.35">
      <c r="A543" s="41">
        <f t="shared" si="2"/>
        <v>226</v>
      </c>
      <c r="B543" s="110" t="s">
        <v>1229</v>
      </c>
      <c r="C543" s="44" t="s">
        <v>200</v>
      </c>
      <c r="D543" s="45" t="s">
        <v>79</v>
      </c>
      <c r="E543" s="46" t="s">
        <v>1230</v>
      </c>
      <c r="F543" s="33" t="s">
        <v>523</v>
      </c>
      <c r="G543" s="40">
        <v>46084</v>
      </c>
      <c r="H543" s="35">
        <v>19240</v>
      </c>
      <c r="I543" s="36"/>
      <c r="J543" s="35">
        <f>SUM(Table1[[#This Row],[LC Value]:[Amd Value]])</f>
        <v>19240</v>
      </c>
      <c r="K543" s="36">
        <v>3.6</v>
      </c>
      <c r="L543" s="37">
        <v>6200</v>
      </c>
      <c r="M543" s="47" t="s">
        <v>843</v>
      </c>
      <c r="N543" s="47" t="s">
        <v>1010</v>
      </c>
      <c r="O543" s="48" t="str">
        <f>IFERROR(_xlfn.XLOOKUP(C543, Data!$A$2:$A$236, Data!$C$2:$C$236), "")</f>
        <v>MD. Sir</v>
      </c>
    </row>
    <row r="544" spans="1:15" ht="42" customHeight="1" x14ac:dyDescent="0.35">
      <c r="A544" s="41">
        <f t="shared" si="2"/>
        <v>225</v>
      </c>
      <c r="B544" s="110" t="s">
        <v>1227</v>
      </c>
      <c r="C544" s="44" t="s">
        <v>200</v>
      </c>
      <c r="D544" s="45" t="s">
        <v>79</v>
      </c>
      <c r="E544" s="46" t="s">
        <v>1228</v>
      </c>
      <c r="F544" s="33" t="s">
        <v>523</v>
      </c>
      <c r="G544" s="40">
        <v>46084</v>
      </c>
      <c r="H544" s="35">
        <v>41600</v>
      </c>
      <c r="I544" s="36"/>
      <c r="J544" s="35">
        <f>SUM(Table1[[#This Row],[LC Value]:[Amd Value]])</f>
        <v>41600</v>
      </c>
      <c r="K544" s="36">
        <v>4</v>
      </c>
      <c r="L544" s="37">
        <v>10400</v>
      </c>
      <c r="M544" s="47" t="s">
        <v>843</v>
      </c>
      <c r="N544" s="47" t="s">
        <v>1010</v>
      </c>
      <c r="O544" s="48" t="str">
        <f>IFERROR(_xlfn.XLOOKUP(C544, Data!$A$2:$A$236, Data!$C$2:$C$236), "")</f>
        <v>MD. Sir</v>
      </c>
    </row>
    <row r="545" spans="1:15" ht="42" customHeight="1" x14ac:dyDescent="0.35">
      <c r="A545" s="41">
        <f t="shared" si="2"/>
        <v>224</v>
      </c>
      <c r="B545" s="110" t="s">
        <v>1225</v>
      </c>
      <c r="C545" s="44" t="s">
        <v>199</v>
      </c>
      <c r="D545" s="45" t="s">
        <v>353</v>
      </c>
      <c r="E545" s="46" t="s">
        <v>1226</v>
      </c>
      <c r="F545" s="33" t="s">
        <v>523</v>
      </c>
      <c r="G545" s="40">
        <v>46084</v>
      </c>
      <c r="H545" s="35">
        <f>67302.5+133837.5</f>
        <v>201140</v>
      </c>
      <c r="I545" s="36"/>
      <c r="J545" s="35">
        <f>SUM(Table1[[#This Row],[LC Value]:[Amd Value]])</f>
        <v>201140</v>
      </c>
      <c r="K545" s="36">
        <v>2.2999999999999998</v>
      </c>
      <c r="L545" s="37">
        <f>25100+52950</f>
        <v>78050</v>
      </c>
      <c r="M545" s="47" t="s">
        <v>843</v>
      </c>
      <c r="N545" s="47" t="s">
        <v>1010</v>
      </c>
      <c r="O545" s="48" t="str">
        <f>IFERROR(_xlfn.XLOOKUP(C545, Data!$A$2:$A$236, Data!$C$2:$C$236), "")</f>
        <v>MD. Sir</v>
      </c>
    </row>
    <row r="546" spans="1:15" ht="42" customHeight="1" x14ac:dyDescent="0.35">
      <c r="A546" s="41">
        <f t="shared" si="2"/>
        <v>223</v>
      </c>
      <c r="B546" s="110" t="s">
        <v>1223</v>
      </c>
      <c r="C546" s="44" t="s">
        <v>199</v>
      </c>
      <c r="D546" s="45" t="s">
        <v>353</v>
      </c>
      <c r="E546" s="46" t="s">
        <v>1224</v>
      </c>
      <c r="F546" s="33" t="s">
        <v>523</v>
      </c>
      <c r="G546" s="40">
        <v>46079</v>
      </c>
      <c r="H546" s="35">
        <v>44112.5</v>
      </c>
      <c r="I546" s="36"/>
      <c r="J546" s="35">
        <f>SUM(Table1[[#This Row],[LC Value]:[Amd Value]])</f>
        <v>44112.5</v>
      </c>
      <c r="K546" s="36">
        <v>3.35</v>
      </c>
      <c r="L546" s="37">
        <v>12450</v>
      </c>
      <c r="M546" s="47" t="s">
        <v>843</v>
      </c>
      <c r="N546" s="47" t="s">
        <v>1010</v>
      </c>
      <c r="O546" s="48" t="str">
        <f>IFERROR(_xlfn.XLOOKUP(C546, Data!$A$2:$A$236, Data!$C$2:$C$236), "")</f>
        <v>MD. Sir</v>
      </c>
    </row>
    <row r="547" spans="1:15" ht="42" customHeight="1" x14ac:dyDescent="0.35">
      <c r="A547" s="41">
        <f t="shared" si="2"/>
        <v>222</v>
      </c>
      <c r="B547" s="110" t="s">
        <v>1219</v>
      </c>
      <c r="C547" s="44" t="s">
        <v>174</v>
      </c>
      <c r="D547" s="45" t="s">
        <v>2691</v>
      </c>
      <c r="E547" s="46" t="s">
        <v>1220</v>
      </c>
      <c r="F547" s="33" t="s">
        <v>523</v>
      </c>
      <c r="G547" s="40">
        <v>46084</v>
      </c>
      <c r="H547" s="35">
        <v>118600</v>
      </c>
      <c r="I547" s="36"/>
      <c r="J547" s="35">
        <f>SUM(Table1[[#This Row],[LC Value]:[Amd Value]])</f>
        <v>118600</v>
      </c>
      <c r="K547" s="36">
        <v>3.4</v>
      </c>
      <c r="L547" s="37">
        <v>32500</v>
      </c>
      <c r="M547" s="47" t="s">
        <v>1040</v>
      </c>
      <c r="N547" s="47" t="s">
        <v>1218</v>
      </c>
      <c r="O547" s="48" t="str">
        <f>IFERROR(_xlfn.XLOOKUP(C547, Data!$A$2:$A$236, Data!$C$2:$C$236), "")</f>
        <v>Mr. Reza Sir</v>
      </c>
    </row>
    <row r="548" spans="1:15" ht="42" customHeight="1" x14ac:dyDescent="0.35">
      <c r="A548" s="41">
        <f t="shared" si="2"/>
        <v>221</v>
      </c>
      <c r="B548" s="110" t="s">
        <v>1216</v>
      </c>
      <c r="C548" s="44" t="s">
        <v>246</v>
      </c>
      <c r="D548" s="45" t="s">
        <v>98</v>
      </c>
      <c r="E548" s="46" t="s">
        <v>1217</v>
      </c>
      <c r="F548" s="33" t="s">
        <v>669</v>
      </c>
      <c r="G548" s="40">
        <v>46084</v>
      </c>
      <c r="H548" s="35">
        <v>7962.5</v>
      </c>
      <c r="I548" s="36"/>
      <c r="J548" s="35">
        <f>SUM(Table1[[#This Row],[LC Value]:[Amd Value]])</f>
        <v>7962.5</v>
      </c>
      <c r="K548" s="36">
        <v>3.05</v>
      </c>
      <c r="L548" s="37">
        <v>2500</v>
      </c>
      <c r="M548" s="47" t="s">
        <v>1040</v>
      </c>
      <c r="N548" s="47" t="s">
        <v>1218</v>
      </c>
      <c r="O548" s="48" t="str">
        <f>IFERROR(_xlfn.XLOOKUP(C548, Data!$A$2:$A$236, Data!$C$2:$C$236), "")</f>
        <v>Mr. Sohel Sir</v>
      </c>
    </row>
    <row r="549" spans="1:15" ht="42" customHeight="1" x14ac:dyDescent="0.35">
      <c r="A549" s="41">
        <f t="shared" si="2"/>
        <v>220</v>
      </c>
      <c r="B549" s="110" t="s">
        <v>1214</v>
      </c>
      <c r="C549" s="44" t="s">
        <v>38</v>
      </c>
      <c r="D549" s="45" t="s">
        <v>189</v>
      </c>
      <c r="E549" s="46" t="s">
        <v>1215</v>
      </c>
      <c r="F549" s="33" t="s">
        <v>669</v>
      </c>
      <c r="G549" s="40">
        <v>46084</v>
      </c>
      <c r="H549" s="35">
        <v>102300</v>
      </c>
      <c r="I549" s="36"/>
      <c r="J549" s="35">
        <f>SUM(Table1[[#This Row],[LC Value]:[Amd Value]])</f>
        <v>102300</v>
      </c>
      <c r="K549" s="36">
        <v>3.3</v>
      </c>
      <c r="L549" s="37">
        <v>31000</v>
      </c>
      <c r="M549" s="47" t="s">
        <v>1010</v>
      </c>
      <c r="N549" s="47" t="s">
        <v>1172</v>
      </c>
      <c r="O549" s="48" t="str">
        <f>IFERROR(_xlfn.XLOOKUP(C549, Data!$A$2:$A$236, Data!$C$2:$C$236), "")</f>
        <v>Mr. Sohel Sir</v>
      </c>
    </row>
    <row r="550" spans="1:15" ht="42" customHeight="1" x14ac:dyDescent="0.35">
      <c r="A550" s="41">
        <f t="shared" si="2"/>
        <v>219</v>
      </c>
      <c r="B550" s="110" t="s">
        <v>1212</v>
      </c>
      <c r="C550" s="44" t="s">
        <v>228</v>
      </c>
      <c r="D550" s="45" t="s">
        <v>229</v>
      </c>
      <c r="E550" s="46" t="s">
        <v>1213</v>
      </c>
      <c r="F550" s="33" t="s">
        <v>1130</v>
      </c>
      <c r="G550" s="40">
        <v>46078</v>
      </c>
      <c r="H550" s="35">
        <v>117300</v>
      </c>
      <c r="I550" s="36">
        <v>15300</v>
      </c>
      <c r="J550" s="35">
        <f>SUM(Table1[[#This Row],[LC Value]:[Amd Value]])</f>
        <v>132600</v>
      </c>
      <c r="K550" s="36">
        <v>3.45</v>
      </c>
      <c r="L550" s="37">
        <v>34000</v>
      </c>
      <c r="M550" s="47" t="s">
        <v>614</v>
      </c>
      <c r="N550" s="47" t="s">
        <v>618</v>
      </c>
      <c r="O550" s="48" t="str">
        <f>IFERROR(_xlfn.XLOOKUP(C550, Data!$A$2:$A$236, Data!$C$2:$C$236), "")</f>
        <v>Mr. Amran Sir</v>
      </c>
    </row>
    <row r="551" spans="1:15" ht="42" customHeight="1" x14ac:dyDescent="0.35">
      <c r="A551" s="41">
        <f t="shared" si="2"/>
        <v>218</v>
      </c>
      <c r="B551" s="110" t="s">
        <v>1207</v>
      </c>
      <c r="C551" s="44" t="s">
        <v>199</v>
      </c>
      <c r="D551" s="45" t="s">
        <v>353</v>
      </c>
      <c r="E551" s="46" t="s">
        <v>1208</v>
      </c>
      <c r="F551" s="33" t="s">
        <v>669</v>
      </c>
      <c r="G551" s="40">
        <v>46084</v>
      </c>
      <c r="H551" s="35">
        <v>11475</v>
      </c>
      <c r="I551" s="36"/>
      <c r="J551" s="35">
        <f>SUM(Table1[[#This Row],[LC Value]:[Amd Value]])</f>
        <v>11475</v>
      </c>
      <c r="K551" s="36">
        <v>3</v>
      </c>
      <c r="L551" s="37">
        <v>3800</v>
      </c>
      <c r="M551" s="47" t="s">
        <v>1209</v>
      </c>
      <c r="N551" s="47" t="s">
        <v>951</v>
      </c>
      <c r="O551" s="48" t="str">
        <f>IFERROR(_xlfn.XLOOKUP(C551, Data!$A$2:$A$236, Data!$C$2:$C$236), "")</f>
        <v>MD. Sir</v>
      </c>
    </row>
    <row r="552" spans="1:15" ht="42" customHeight="1" x14ac:dyDescent="0.35">
      <c r="A552" s="41">
        <f t="shared" si="2"/>
        <v>217</v>
      </c>
      <c r="B552" s="110" t="s">
        <v>1205</v>
      </c>
      <c r="C552" s="44" t="s">
        <v>201</v>
      </c>
      <c r="D552" s="45" t="s">
        <v>21</v>
      </c>
      <c r="E552" s="46" t="s">
        <v>1206</v>
      </c>
      <c r="F552" s="33" t="s">
        <v>669</v>
      </c>
      <c r="G552" s="40">
        <v>46079</v>
      </c>
      <c r="H552" s="35">
        <v>159250</v>
      </c>
      <c r="I552" s="36"/>
      <c r="J552" s="35">
        <f>SUM(Table1[[#This Row],[LC Value]:[Amd Value]])</f>
        <v>159250</v>
      </c>
      <c r="K552" s="36">
        <v>3.25</v>
      </c>
      <c r="L552" s="37">
        <v>49000</v>
      </c>
      <c r="M552" s="47" t="s">
        <v>956</v>
      </c>
      <c r="N552" s="47" t="s">
        <v>955</v>
      </c>
      <c r="O552" s="48" t="str">
        <f>IFERROR(_xlfn.XLOOKUP(C552, Data!$A$2:$A$236, Data!$C$2:$C$236), "")</f>
        <v>Director Sir</v>
      </c>
    </row>
    <row r="553" spans="1:15" ht="42" customHeight="1" x14ac:dyDescent="0.35">
      <c r="A553" s="41">
        <f t="shared" si="2"/>
        <v>216</v>
      </c>
      <c r="B553" s="110" t="s">
        <v>1202</v>
      </c>
      <c r="C553" s="44" t="s">
        <v>1203</v>
      </c>
      <c r="D553" s="45" t="s">
        <v>280</v>
      </c>
      <c r="E553" s="46" t="s">
        <v>1204</v>
      </c>
      <c r="F553" s="33" t="s">
        <v>669</v>
      </c>
      <c r="G553" s="40">
        <v>46084</v>
      </c>
      <c r="H553" s="35">
        <v>82045</v>
      </c>
      <c r="I553" s="134">
        <f>4847.5+8740</f>
        <v>13587.5</v>
      </c>
      <c r="J553" s="35">
        <f>SUM(Table1[[#This Row],[LC Value]:[Amd Value]])</f>
        <v>95632.5</v>
      </c>
      <c r="K553" s="36">
        <v>3.05</v>
      </c>
      <c r="L553" s="37">
        <v>26200</v>
      </c>
      <c r="M553" s="47" t="s">
        <v>1040</v>
      </c>
      <c r="N553" s="47" t="s">
        <v>1010</v>
      </c>
      <c r="O553" s="48" t="str">
        <f>IFERROR(_xlfn.XLOOKUP(C553, Data!$A$2:$A$236, Data!$C$2:$C$236), "")</f>
        <v>Mr. Lipu Sir</v>
      </c>
    </row>
    <row r="554" spans="1:15" ht="42" customHeight="1" x14ac:dyDescent="0.35">
      <c r="A554" s="41">
        <f t="shared" si="2"/>
        <v>215</v>
      </c>
      <c r="B554" s="110" t="s">
        <v>1200</v>
      </c>
      <c r="C554" s="44" t="s">
        <v>68</v>
      </c>
      <c r="D554" s="45" t="s">
        <v>414</v>
      </c>
      <c r="E554" s="46" t="s">
        <v>1201</v>
      </c>
      <c r="F554" s="33" t="s">
        <v>669</v>
      </c>
      <c r="G554" s="40">
        <v>46084</v>
      </c>
      <c r="H554" s="35">
        <f>41450+33670</f>
        <v>75120</v>
      </c>
      <c r="I554" s="36"/>
      <c r="J554" s="35">
        <f>SUM(Table1[[#This Row],[LC Value]:[Amd Value]])</f>
        <v>75120</v>
      </c>
      <c r="K554" s="36">
        <v>3.67</v>
      </c>
      <c r="L554" s="37">
        <v>30000</v>
      </c>
      <c r="M554" s="47" t="s">
        <v>1197</v>
      </c>
      <c r="N554" s="47" t="s">
        <v>1196</v>
      </c>
      <c r="O554" s="48" t="str">
        <f>IFERROR(_xlfn.XLOOKUP(C554, Data!$A$2:$A$236, Data!$C$2:$C$236), "")</f>
        <v>Director Sir</v>
      </c>
    </row>
    <row r="555" spans="1:15" ht="42" customHeight="1" x14ac:dyDescent="0.35">
      <c r="A555" s="41">
        <f t="shared" si="2"/>
        <v>214</v>
      </c>
      <c r="B555" s="110" t="s">
        <v>1198</v>
      </c>
      <c r="C555" s="44" t="s">
        <v>174</v>
      </c>
      <c r="D555" s="45" t="s">
        <v>2691</v>
      </c>
      <c r="E555" s="46" t="s">
        <v>1199</v>
      </c>
      <c r="F555" s="33" t="s">
        <v>669</v>
      </c>
      <c r="G555" s="40">
        <v>46084</v>
      </c>
      <c r="H555" s="35">
        <v>110100</v>
      </c>
      <c r="I555" s="36"/>
      <c r="J555" s="35">
        <f>SUM(Table1[[#This Row],[LC Value]:[Amd Value]])</f>
        <v>110100</v>
      </c>
      <c r="K555" s="36">
        <v>3.67</v>
      </c>
      <c r="L555" s="37">
        <v>30000</v>
      </c>
      <c r="M555" s="47" t="s">
        <v>1197</v>
      </c>
      <c r="N555" s="47" t="s">
        <v>1196</v>
      </c>
      <c r="O555" s="48" t="str">
        <f>IFERROR(_xlfn.XLOOKUP(C555, Data!$A$2:$A$236, Data!$C$2:$C$236), "")</f>
        <v>Mr. Reza Sir</v>
      </c>
    </row>
    <row r="556" spans="1:15" ht="42" customHeight="1" x14ac:dyDescent="0.35">
      <c r="A556" s="41">
        <f t="shared" si="2"/>
        <v>213</v>
      </c>
      <c r="B556" s="110" t="s">
        <v>1193</v>
      </c>
      <c r="C556" s="44" t="s">
        <v>1192</v>
      </c>
      <c r="D556" s="45" t="s">
        <v>72</v>
      </c>
      <c r="E556" s="46" t="s">
        <v>1194</v>
      </c>
      <c r="F556" s="33" t="s">
        <v>1177</v>
      </c>
      <c r="G556" s="40">
        <v>46084</v>
      </c>
      <c r="H556" s="35">
        <v>6121</v>
      </c>
      <c r="I556" s="36"/>
      <c r="J556" s="35">
        <f>SUM(Table1[[#This Row],[LC Value]:[Amd Value]])</f>
        <v>6121</v>
      </c>
      <c r="K556" s="36">
        <v>3</v>
      </c>
      <c r="L556" s="37">
        <v>1540</v>
      </c>
      <c r="M556" s="47" t="s">
        <v>1197</v>
      </c>
      <c r="N556" s="47" t="s">
        <v>1196</v>
      </c>
      <c r="O556" s="48" t="str">
        <f>IFERROR(_xlfn.XLOOKUP(C556, Data!$A$2:$A$236, Data!$C$2:$C$236), "")</f>
        <v>Director Sir</v>
      </c>
    </row>
    <row r="557" spans="1:15" ht="42" customHeight="1" x14ac:dyDescent="0.35">
      <c r="A557" s="41">
        <f t="shared" si="2"/>
        <v>212</v>
      </c>
      <c r="B557" s="110" t="s">
        <v>1190</v>
      </c>
      <c r="C557" s="44" t="s">
        <v>1189</v>
      </c>
      <c r="D557" s="45" t="s">
        <v>189</v>
      </c>
      <c r="E557" s="46" t="s">
        <v>1191</v>
      </c>
      <c r="F557" s="33" t="s">
        <v>1177</v>
      </c>
      <c r="G557" s="40">
        <v>46084</v>
      </c>
      <c r="H557" s="35">
        <v>10830</v>
      </c>
      <c r="I557" s="36"/>
      <c r="J557" s="35">
        <f>SUM(Table1[[#This Row],[LC Value]:[Amd Value]])</f>
        <v>10830</v>
      </c>
      <c r="K557" s="36">
        <v>2.85</v>
      </c>
      <c r="L557" s="37">
        <v>3800</v>
      </c>
      <c r="M557" s="47" t="s">
        <v>676</v>
      </c>
      <c r="N557" s="47" t="s">
        <v>843</v>
      </c>
      <c r="O557" s="48" t="str">
        <f>IFERROR(_xlfn.XLOOKUP(C557, Data!$A$2:$A$236, Data!$C$2:$C$236), "")</f>
        <v>Mr. Reza Sir</v>
      </c>
    </row>
    <row r="558" spans="1:15" ht="42" customHeight="1" x14ac:dyDescent="0.35">
      <c r="A558" s="41">
        <f t="shared" si="2"/>
        <v>211</v>
      </c>
      <c r="B558" s="110" t="s">
        <v>1187</v>
      </c>
      <c r="C558" s="44" t="s">
        <v>68</v>
      </c>
      <c r="D558" s="45" t="s">
        <v>414</v>
      </c>
      <c r="E558" s="46" t="s">
        <v>1188</v>
      </c>
      <c r="F558" s="33" t="s">
        <v>1177</v>
      </c>
      <c r="G558" s="40">
        <v>46083</v>
      </c>
      <c r="H558" s="35">
        <v>23952</v>
      </c>
      <c r="I558" s="36"/>
      <c r="J558" s="35">
        <f>SUM(Table1[[#This Row],[LC Value]:[Amd Value]])</f>
        <v>23952</v>
      </c>
      <c r="K558" s="36">
        <v>4.4400000000000004</v>
      </c>
      <c r="L558" s="37">
        <v>5300</v>
      </c>
      <c r="M558" s="47" t="s">
        <v>969</v>
      </c>
      <c r="N558" s="47" t="s">
        <v>843</v>
      </c>
      <c r="O558" s="48" t="str">
        <f>IFERROR(_xlfn.XLOOKUP(C558, Data!$A$2:$A$236, Data!$C$2:$C$236), "")</f>
        <v>Director Sir</v>
      </c>
    </row>
    <row r="559" spans="1:15" ht="42" customHeight="1" x14ac:dyDescent="0.35">
      <c r="A559" s="41">
        <f t="shared" si="2"/>
        <v>210</v>
      </c>
      <c r="B559" s="110" t="s">
        <v>1185</v>
      </c>
      <c r="C559" s="44" t="s">
        <v>199</v>
      </c>
      <c r="D559" s="45" t="s">
        <v>32</v>
      </c>
      <c r="E559" s="46" t="s">
        <v>1186</v>
      </c>
      <c r="F559" s="33" t="s">
        <v>1177</v>
      </c>
      <c r="G559" s="40">
        <v>46083</v>
      </c>
      <c r="H559" s="35">
        <v>20237.5</v>
      </c>
      <c r="I559" s="36"/>
      <c r="J559" s="35">
        <f>SUM(Table1[[#This Row],[LC Value]:[Amd Value]])</f>
        <v>20237.5</v>
      </c>
      <c r="K559" s="36">
        <v>3</v>
      </c>
      <c r="L559" s="37">
        <v>5900</v>
      </c>
      <c r="M559" s="47" t="s">
        <v>969</v>
      </c>
      <c r="N559" s="47" t="s">
        <v>843</v>
      </c>
      <c r="O559" s="48" t="str">
        <f>IFERROR(_xlfn.XLOOKUP(C559, Data!$A$2:$A$236, Data!$C$2:$C$236), "")</f>
        <v>MD. Sir</v>
      </c>
    </row>
    <row r="560" spans="1:15" ht="42" customHeight="1" x14ac:dyDescent="0.35">
      <c r="A560" s="41">
        <f t="shared" si="2"/>
        <v>209</v>
      </c>
      <c r="B560" s="110" t="s">
        <v>1183</v>
      </c>
      <c r="C560" s="44" t="s">
        <v>200</v>
      </c>
      <c r="D560" s="45" t="s">
        <v>79</v>
      </c>
      <c r="E560" s="46" t="s">
        <v>1184</v>
      </c>
      <c r="F560" s="33" t="s">
        <v>1177</v>
      </c>
      <c r="G560" s="40">
        <v>46084</v>
      </c>
      <c r="H560" s="35">
        <v>63350</v>
      </c>
      <c r="I560" s="36"/>
      <c r="J560" s="35">
        <f>SUM(Table1[[#This Row],[LC Value]:[Amd Value]])</f>
        <v>63350</v>
      </c>
      <c r="K560" s="36">
        <v>3</v>
      </c>
      <c r="L560" s="37">
        <v>22600</v>
      </c>
      <c r="M560" s="47" t="s">
        <v>969</v>
      </c>
      <c r="N560" s="47" t="s">
        <v>843</v>
      </c>
      <c r="O560" s="48" t="str">
        <f>IFERROR(_xlfn.XLOOKUP(C560, Data!$A$2:$A$236, Data!$C$2:$C$236), "")</f>
        <v>MD. Sir</v>
      </c>
    </row>
    <row r="561" spans="1:15" ht="42" customHeight="1" x14ac:dyDescent="0.35">
      <c r="A561" s="41">
        <f t="shared" si="2"/>
        <v>208</v>
      </c>
      <c r="B561" s="110" t="s">
        <v>1179</v>
      </c>
      <c r="C561" s="44" t="s">
        <v>199</v>
      </c>
      <c r="D561" s="45" t="s">
        <v>32</v>
      </c>
      <c r="E561" s="46" t="s">
        <v>1180</v>
      </c>
      <c r="F561" s="33" t="s">
        <v>345</v>
      </c>
      <c r="G561" s="40">
        <v>46083</v>
      </c>
      <c r="H561" s="35">
        <v>47275</v>
      </c>
      <c r="I561" s="36"/>
      <c r="J561" s="35">
        <f>SUM(Table1[[#This Row],[LC Value]:[Amd Value]])</f>
        <v>47275</v>
      </c>
      <c r="K561" s="36">
        <v>3.1</v>
      </c>
      <c r="L561" s="37">
        <v>15250</v>
      </c>
      <c r="M561" s="47" t="s">
        <v>969</v>
      </c>
      <c r="N561" s="47" t="s">
        <v>843</v>
      </c>
      <c r="O561" s="48" t="str">
        <f>IFERROR(_xlfn.XLOOKUP(C561, Data!$A$2:$A$236, Data!$C$2:$C$236), "")</f>
        <v>MD. Sir</v>
      </c>
    </row>
    <row r="562" spans="1:15" ht="42" customHeight="1" x14ac:dyDescent="0.35">
      <c r="A562" s="41">
        <f t="shared" si="2"/>
        <v>207</v>
      </c>
      <c r="B562" s="110" t="s">
        <v>1173</v>
      </c>
      <c r="C562" s="44" t="s">
        <v>228</v>
      </c>
      <c r="D562" s="45" t="s">
        <v>229</v>
      </c>
      <c r="E562" s="46" t="s">
        <v>1174</v>
      </c>
      <c r="F562" s="33" t="s">
        <v>345</v>
      </c>
      <c r="G562" s="40">
        <v>46084</v>
      </c>
      <c r="H562" s="35">
        <v>47275</v>
      </c>
      <c r="I562" s="36"/>
      <c r="J562" s="35">
        <f>SUM(Table1[[#This Row],[LC Value]:[Amd Value]])</f>
        <v>47275</v>
      </c>
      <c r="K562" s="36">
        <v>3.1</v>
      </c>
      <c r="L562" s="37">
        <v>15250</v>
      </c>
      <c r="M562" s="47" t="s">
        <v>969</v>
      </c>
      <c r="N562" s="47" t="s">
        <v>843</v>
      </c>
      <c r="O562" s="48" t="s">
        <v>2268</v>
      </c>
    </row>
    <row r="563" spans="1:15" ht="42" customHeight="1" x14ac:dyDescent="0.35">
      <c r="A563" s="41">
        <f t="shared" si="2"/>
        <v>206</v>
      </c>
      <c r="B563" s="110" t="s">
        <v>1170</v>
      </c>
      <c r="C563" s="44" t="s">
        <v>64</v>
      </c>
      <c r="D563" s="45" t="s">
        <v>21</v>
      </c>
      <c r="E563" s="46" t="s">
        <v>1171</v>
      </c>
      <c r="F563" s="33" t="s">
        <v>345</v>
      </c>
      <c r="G563" s="40">
        <v>46078</v>
      </c>
      <c r="H563" s="35">
        <v>8392.5</v>
      </c>
      <c r="I563" s="36"/>
      <c r="J563" s="35">
        <f>SUM(Table1[[#This Row],[LC Value]:[Amd Value]])</f>
        <v>8392.5</v>
      </c>
      <c r="K563" s="36">
        <v>3.5</v>
      </c>
      <c r="L563" s="37">
        <v>2400</v>
      </c>
      <c r="M563" s="47" t="s">
        <v>1010</v>
      </c>
      <c r="N563" s="47" t="s">
        <v>1172</v>
      </c>
      <c r="O563" s="48" t="str">
        <f>IFERROR(_xlfn.XLOOKUP(C563, Data!$A$2:$A$236, Data!$C$2:$C$236), "")</f>
        <v>Mr. Reza Sir</v>
      </c>
    </row>
    <row r="564" spans="1:15" ht="42" customHeight="1" x14ac:dyDescent="0.35">
      <c r="A564" s="41">
        <f t="shared" si="2"/>
        <v>205</v>
      </c>
      <c r="B564" s="110" t="s">
        <v>1167</v>
      </c>
      <c r="C564" s="44" t="s">
        <v>288</v>
      </c>
      <c r="D564" s="45" t="s">
        <v>1168</v>
      </c>
      <c r="E564" s="46" t="s">
        <v>1169</v>
      </c>
      <c r="F564" s="33" t="s">
        <v>345</v>
      </c>
      <c r="G564" s="40">
        <v>46083</v>
      </c>
      <c r="H564" s="35">
        <v>29432.5</v>
      </c>
      <c r="I564" s="36"/>
      <c r="J564" s="35">
        <f>SUM(Table1[[#This Row],[LC Value]:[Amd Value]])</f>
        <v>29432.5</v>
      </c>
      <c r="K564" s="36">
        <v>3.05</v>
      </c>
      <c r="L564" s="37">
        <v>9650</v>
      </c>
      <c r="M564" s="47" t="s">
        <v>676</v>
      </c>
      <c r="N564" s="47" t="s">
        <v>843</v>
      </c>
      <c r="O564" s="48" t="str">
        <f>IFERROR(_xlfn.XLOOKUP(C564, Data!$A$2:$A$236, Data!$C$2:$C$236), "")</f>
        <v>Mr. Reza Sir</v>
      </c>
    </row>
    <row r="565" spans="1:15" ht="42" customHeight="1" x14ac:dyDescent="0.35">
      <c r="A565" s="41">
        <f t="shared" si="2"/>
        <v>204</v>
      </c>
      <c r="B565" s="110" t="s">
        <v>1161</v>
      </c>
      <c r="C565" s="44" t="s">
        <v>199</v>
      </c>
      <c r="D565" s="45" t="s">
        <v>32</v>
      </c>
      <c r="E565" s="46" t="s">
        <v>1162</v>
      </c>
      <c r="F565" s="33" t="s">
        <v>345</v>
      </c>
      <c r="G565" s="40">
        <v>46084</v>
      </c>
      <c r="H565" s="35">
        <v>31310</v>
      </c>
      <c r="I565" s="36"/>
      <c r="J565" s="35">
        <f>SUM(Table1[[#This Row],[LC Value]:[Amd Value]])</f>
        <v>31310</v>
      </c>
      <c r="K565" s="36">
        <v>3</v>
      </c>
      <c r="L565" s="37">
        <v>10300</v>
      </c>
      <c r="M565" s="47" t="s">
        <v>676</v>
      </c>
      <c r="N565" s="47" t="s">
        <v>1040</v>
      </c>
      <c r="O565" s="48" t="str">
        <f>IFERROR(_xlfn.XLOOKUP(C565, Data!$A$2:$A$236, Data!$C$2:$C$236), "")</f>
        <v>MD. Sir</v>
      </c>
    </row>
    <row r="566" spans="1:15" ht="42" customHeight="1" x14ac:dyDescent="0.35">
      <c r="A566" s="41">
        <f t="shared" si="2"/>
        <v>203</v>
      </c>
      <c r="B566" s="110" t="s">
        <v>1159</v>
      </c>
      <c r="C566" s="44" t="s">
        <v>201</v>
      </c>
      <c r="D566" s="45" t="s">
        <v>95</v>
      </c>
      <c r="E566" s="46" t="s">
        <v>1160</v>
      </c>
      <c r="F566" s="33" t="s">
        <v>394</v>
      </c>
      <c r="G566" s="40">
        <v>46078</v>
      </c>
      <c r="H566" s="35">
        <v>142785</v>
      </c>
      <c r="I566" s="36"/>
      <c r="J566" s="35">
        <f>SUM(Table1[[#This Row],[LC Value]:[Amd Value]])</f>
        <v>142785</v>
      </c>
      <c r="K566" s="36">
        <v>3.05</v>
      </c>
      <c r="L566" s="37">
        <v>46200</v>
      </c>
      <c r="M566" s="47" t="s">
        <v>452</v>
      </c>
      <c r="N566" s="47" t="s">
        <v>676</v>
      </c>
      <c r="O566" s="48" t="str">
        <f>IFERROR(_xlfn.XLOOKUP(C566, Data!$A$2:$A$236, Data!$C$2:$C$236), "")</f>
        <v>Director Sir</v>
      </c>
    </row>
    <row r="567" spans="1:15" ht="42" customHeight="1" x14ac:dyDescent="0.35">
      <c r="A567" s="41">
        <f t="shared" si="2"/>
        <v>202</v>
      </c>
      <c r="B567" s="110" t="s">
        <v>1154</v>
      </c>
      <c r="C567" s="44" t="s">
        <v>1155</v>
      </c>
      <c r="D567" s="45" t="s">
        <v>231</v>
      </c>
      <c r="E567" s="46" t="s">
        <v>1156</v>
      </c>
      <c r="F567" s="33" t="s">
        <v>394</v>
      </c>
      <c r="G567" s="40">
        <v>46083</v>
      </c>
      <c r="H567" s="35">
        <v>6100</v>
      </c>
      <c r="I567" s="36"/>
      <c r="J567" s="35">
        <f>SUM(Table1[[#This Row],[LC Value]:[Amd Value]])</f>
        <v>6100</v>
      </c>
      <c r="K567" s="36">
        <v>3.05</v>
      </c>
      <c r="L567" s="37">
        <v>2000</v>
      </c>
      <c r="M567" s="47" t="s">
        <v>452</v>
      </c>
      <c r="N567" s="47" t="s">
        <v>676</v>
      </c>
      <c r="O567" s="48" t="str">
        <f>IFERROR(_xlfn.XLOOKUP(C567, Data!$A$2:$A$236, Data!$C$2:$C$236), "")</f>
        <v>MD. Sir</v>
      </c>
    </row>
    <row r="568" spans="1:15" ht="42" customHeight="1" x14ac:dyDescent="0.35">
      <c r="A568" s="41">
        <f t="shared" si="2"/>
        <v>201</v>
      </c>
      <c r="B568" s="110" t="s">
        <v>1152</v>
      </c>
      <c r="C568" s="44" t="s">
        <v>245</v>
      </c>
      <c r="D568" s="45" t="s">
        <v>135</v>
      </c>
      <c r="E568" s="46" t="s">
        <v>1153</v>
      </c>
      <c r="F568" s="33" t="s">
        <v>394</v>
      </c>
      <c r="G568" s="40">
        <v>46084</v>
      </c>
      <c r="H568" s="35">
        <v>5425</v>
      </c>
      <c r="I568" s="36"/>
      <c r="J568" s="35">
        <f>SUM(Table1[[#This Row],[LC Value]:[Amd Value]])</f>
        <v>5425</v>
      </c>
      <c r="K568" s="36">
        <v>3.1</v>
      </c>
      <c r="L568" s="37">
        <v>3500</v>
      </c>
      <c r="M568" s="47" t="s">
        <v>956</v>
      </c>
      <c r="N568" s="47" t="s">
        <v>931</v>
      </c>
      <c r="O568" s="48" t="str">
        <f>IFERROR(_xlfn.XLOOKUP(C568, Data!$A$2:$A$236, Data!$C$2:$C$236), "")</f>
        <v>Mr. Reza Sir</v>
      </c>
    </row>
    <row r="569" spans="1:15" ht="42" customHeight="1" x14ac:dyDescent="0.35">
      <c r="A569" s="41">
        <f t="shared" si="2"/>
        <v>200</v>
      </c>
      <c r="B569" s="110" t="s">
        <v>1150</v>
      </c>
      <c r="C569" s="44" t="s">
        <v>199</v>
      </c>
      <c r="D569" s="45" t="s">
        <v>98</v>
      </c>
      <c r="E569" s="46" t="s">
        <v>1151</v>
      </c>
      <c r="F569" s="33" t="s">
        <v>472</v>
      </c>
      <c r="G569" s="40">
        <v>46078</v>
      </c>
      <c r="H569" s="35">
        <f>26190+5025+7905+4495+52800+3380+25610+38870+130500+36617.5+7402.5+3982.5+10337.5+8065+6997.5+8860+17675</f>
        <v>394712.5</v>
      </c>
      <c r="I569" s="36"/>
      <c r="J569" s="35">
        <f>SUM(Table1[[#This Row],[LC Value]:[Amd Value]])</f>
        <v>394712.5</v>
      </c>
      <c r="K569" s="36">
        <v>3.3</v>
      </c>
      <c r="L569" s="37">
        <v>3500</v>
      </c>
      <c r="M569" s="47" t="s">
        <v>956</v>
      </c>
      <c r="N569" s="47" t="s">
        <v>931</v>
      </c>
      <c r="O569" s="48" t="str">
        <f>IFERROR(_xlfn.XLOOKUP(C569, Data!$A$2:$A$236, Data!$C$2:$C$236), "")</f>
        <v>MD. Sir</v>
      </c>
    </row>
    <row r="570" spans="1:15" ht="42" customHeight="1" x14ac:dyDescent="0.35">
      <c r="A570" s="41">
        <f t="shared" si="2"/>
        <v>199</v>
      </c>
      <c r="B570" s="110" t="s">
        <v>1148</v>
      </c>
      <c r="C570" s="44" t="s">
        <v>199</v>
      </c>
      <c r="D570" s="45" t="s">
        <v>98</v>
      </c>
      <c r="E570" s="46" t="s">
        <v>1149</v>
      </c>
      <c r="F570" s="33" t="s">
        <v>472</v>
      </c>
      <c r="G570" s="40">
        <v>46077</v>
      </c>
      <c r="H570" s="35">
        <f>24660+2240</f>
        <v>26900</v>
      </c>
      <c r="I570" s="36"/>
      <c r="J570" s="35">
        <f>SUM(Table1[[#This Row],[LC Value]:[Amd Value]])</f>
        <v>26900</v>
      </c>
      <c r="K570" s="36">
        <v>3.3</v>
      </c>
      <c r="L570" s="37">
        <v>3500</v>
      </c>
      <c r="M570" s="47" t="s">
        <v>956</v>
      </c>
      <c r="N570" s="47" t="s">
        <v>931</v>
      </c>
      <c r="O570" s="48" t="str">
        <f>IFERROR(_xlfn.XLOOKUP(C570, Data!$A$2:$A$236, Data!$C$2:$C$236), "")</f>
        <v>MD. Sir</v>
      </c>
    </row>
    <row r="571" spans="1:15" ht="42" customHeight="1" x14ac:dyDescent="0.35">
      <c r="A571" s="41">
        <f t="shared" si="2"/>
        <v>198</v>
      </c>
      <c r="B571" s="110" t="s">
        <v>1146</v>
      </c>
      <c r="C571" s="44" t="s">
        <v>264</v>
      </c>
      <c r="D571" s="45" t="s">
        <v>61</v>
      </c>
      <c r="E571" s="46" t="s">
        <v>1147</v>
      </c>
      <c r="F571" s="33" t="s">
        <v>472</v>
      </c>
      <c r="G571" s="40">
        <v>46083</v>
      </c>
      <c r="H571" s="35">
        <v>11550</v>
      </c>
      <c r="I571" s="36"/>
      <c r="J571" s="35">
        <f>SUM(Table1[[#This Row],[LC Value]:[Amd Value]])</f>
        <v>11550</v>
      </c>
      <c r="K571" s="36">
        <v>3.3</v>
      </c>
      <c r="L571" s="37">
        <v>3500</v>
      </c>
      <c r="M571" s="47" t="s">
        <v>956</v>
      </c>
      <c r="N571" s="47" t="s">
        <v>931</v>
      </c>
      <c r="O571" s="48" t="str">
        <f>IFERROR(_xlfn.XLOOKUP(C571, Data!$A$2:$A$236, Data!$C$2:$C$236), "")</f>
        <v>Mr. Lipu Sir</v>
      </c>
    </row>
    <row r="572" spans="1:15" ht="42" customHeight="1" x14ac:dyDescent="0.35">
      <c r="A572" s="41">
        <f t="shared" si="2"/>
        <v>197</v>
      </c>
      <c r="B572" s="110" t="s">
        <v>1142</v>
      </c>
      <c r="C572" s="44" t="s">
        <v>200</v>
      </c>
      <c r="D572" s="45" t="s">
        <v>32</v>
      </c>
      <c r="E572" s="46" t="s">
        <v>1143</v>
      </c>
      <c r="F572" s="33" t="s">
        <v>472</v>
      </c>
      <c r="G572" s="40">
        <v>46078</v>
      </c>
      <c r="H572" s="35">
        <v>22090</v>
      </c>
      <c r="I572" s="36"/>
      <c r="J572" s="35">
        <f>SUM(Table1[[#This Row],[LC Value]:[Amd Value]])</f>
        <v>22090</v>
      </c>
      <c r="K572" s="36">
        <v>2.4</v>
      </c>
      <c r="L572" s="37">
        <v>7700</v>
      </c>
      <c r="M572" s="47" t="s">
        <v>440</v>
      </c>
      <c r="N572" s="47" t="s">
        <v>1131</v>
      </c>
      <c r="O572" s="48" t="str">
        <f>IFERROR(_xlfn.XLOOKUP(C572, Data!$A$2:$A$236, Data!$C$2:$C$236), "")</f>
        <v>MD. Sir</v>
      </c>
    </row>
    <row r="573" spans="1:15" ht="42" customHeight="1" x14ac:dyDescent="0.35">
      <c r="A573" s="41">
        <f t="shared" si="2"/>
        <v>196</v>
      </c>
      <c r="B573" s="110" t="s">
        <v>1140</v>
      </c>
      <c r="C573" s="44" t="s">
        <v>199</v>
      </c>
      <c r="D573" s="45" t="s">
        <v>32</v>
      </c>
      <c r="E573" s="46" t="s">
        <v>1141</v>
      </c>
      <c r="F573" s="33" t="s">
        <v>472</v>
      </c>
      <c r="G573" s="40">
        <v>46077</v>
      </c>
      <c r="H573" s="35">
        <v>42862.5</v>
      </c>
      <c r="I573" s="36"/>
      <c r="J573" s="35">
        <f>SUM(Table1[[#This Row],[LC Value]:[Amd Value]])</f>
        <v>42862.5</v>
      </c>
      <c r="K573" s="36">
        <v>2.4</v>
      </c>
      <c r="L573" s="37">
        <v>13300</v>
      </c>
      <c r="M573" s="47" t="s">
        <v>440</v>
      </c>
      <c r="N573" s="47" t="s">
        <v>1131</v>
      </c>
      <c r="O573" s="48" t="str">
        <f>IFERROR(_xlfn.XLOOKUP(C573, Data!$A$2:$A$236, Data!$C$2:$C$236), "")</f>
        <v>MD. Sir</v>
      </c>
    </row>
    <row r="574" spans="1:15" ht="42" customHeight="1" x14ac:dyDescent="0.35">
      <c r="A574" s="41">
        <f t="shared" si="2"/>
        <v>195</v>
      </c>
      <c r="B574" s="110" t="s">
        <v>1138</v>
      </c>
      <c r="C574" s="44" t="s">
        <v>199</v>
      </c>
      <c r="D574" s="45" t="s">
        <v>32</v>
      </c>
      <c r="E574" s="46" t="s">
        <v>1139</v>
      </c>
      <c r="F574" s="33" t="s">
        <v>472</v>
      </c>
      <c r="G574" s="40">
        <v>46078</v>
      </c>
      <c r="H574" s="35">
        <v>55320</v>
      </c>
      <c r="I574" s="36"/>
      <c r="J574" s="35">
        <f>SUM(Table1[[#This Row],[LC Value]:[Amd Value]])</f>
        <v>55320</v>
      </c>
      <c r="K574" s="36">
        <v>2.4</v>
      </c>
      <c r="L574" s="37">
        <v>23050</v>
      </c>
      <c r="M574" s="47" t="s">
        <v>440</v>
      </c>
      <c r="N574" s="47" t="s">
        <v>1131</v>
      </c>
      <c r="O574" s="48" t="str">
        <f>IFERROR(_xlfn.XLOOKUP(C574, Data!$A$2:$A$236, Data!$C$2:$C$236), "")</f>
        <v>MD. Sir</v>
      </c>
    </row>
    <row r="575" spans="1:15" ht="42" customHeight="1" x14ac:dyDescent="0.35">
      <c r="A575" s="41">
        <f t="shared" si="2"/>
        <v>194</v>
      </c>
      <c r="B575" s="110" t="s">
        <v>1136</v>
      </c>
      <c r="C575" s="44" t="s">
        <v>199</v>
      </c>
      <c r="D575" s="45" t="s">
        <v>32</v>
      </c>
      <c r="E575" s="46" t="s">
        <v>1137</v>
      </c>
      <c r="F575" s="33" t="s">
        <v>472</v>
      </c>
      <c r="G575" s="40">
        <v>46078</v>
      </c>
      <c r="H575" s="35">
        <v>44130</v>
      </c>
      <c r="I575" s="36"/>
      <c r="J575" s="35">
        <f>SUM(Table1[[#This Row],[LC Value]:[Amd Value]])</f>
        <v>44130</v>
      </c>
      <c r="K575" s="36">
        <v>2.4</v>
      </c>
      <c r="L575" s="37">
        <v>18250</v>
      </c>
      <c r="M575" s="47" t="s">
        <v>440</v>
      </c>
      <c r="N575" s="47" t="s">
        <v>1131</v>
      </c>
      <c r="O575" s="48" t="str">
        <f>IFERROR(_xlfn.XLOOKUP(C575, Data!$A$2:$A$236, Data!$C$2:$C$236), "")</f>
        <v>MD. Sir</v>
      </c>
    </row>
    <row r="576" spans="1:15" ht="42" customHeight="1" x14ac:dyDescent="0.35">
      <c r="A576" s="41">
        <f t="shared" si="2"/>
        <v>193</v>
      </c>
      <c r="B576" s="110" t="s">
        <v>1132</v>
      </c>
      <c r="C576" s="44" t="s">
        <v>865</v>
      </c>
      <c r="D576" s="45" t="s">
        <v>873</v>
      </c>
      <c r="E576" s="46" t="s">
        <v>1133</v>
      </c>
      <c r="F576" s="33" t="s">
        <v>1130</v>
      </c>
      <c r="G576" s="40">
        <v>46077</v>
      </c>
      <c r="H576" s="35">
        <v>18900</v>
      </c>
      <c r="I576" s="36"/>
      <c r="J576" s="35">
        <f>SUM(Table1[[#This Row],[LC Value]:[Amd Value]])</f>
        <v>18900</v>
      </c>
      <c r="K576" s="36">
        <v>3</v>
      </c>
      <c r="L576" s="37">
        <v>6300</v>
      </c>
      <c r="M576" s="47" t="s">
        <v>440</v>
      </c>
      <c r="N576" s="47" t="s">
        <v>1131</v>
      </c>
      <c r="O576" s="48" t="str">
        <f>IFERROR(_xlfn.XLOOKUP(C576, Data!$A$2:$A$236, Data!$C$2:$C$236), "")</f>
        <v>Mr. Lipu Sir</v>
      </c>
    </row>
    <row r="577" spans="1:15" ht="42" customHeight="1" x14ac:dyDescent="0.35">
      <c r="A577" s="41">
        <f t="shared" si="2"/>
        <v>192</v>
      </c>
      <c r="B577" s="110" t="s">
        <v>1128</v>
      </c>
      <c r="C577" s="44" t="s">
        <v>865</v>
      </c>
      <c r="D577" s="45" t="s">
        <v>873</v>
      </c>
      <c r="E577" s="46" t="s">
        <v>1129</v>
      </c>
      <c r="F577" s="33" t="s">
        <v>1130</v>
      </c>
      <c r="G577" s="40">
        <v>46077</v>
      </c>
      <c r="H577" s="35">
        <v>17232.5</v>
      </c>
      <c r="I577" s="36"/>
      <c r="J577" s="35">
        <f>SUM(Table1[[#This Row],[LC Value]:[Amd Value]])</f>
        <v>17232.5</v>
      </c>
      <c r="K577" s="36">
        <v>3.05</v>
      </c>
      <c r="L577" s="37">
        <v>5650</v>
      </c>
      <c r="M577" s="47" t="s">
        <v>440</v>
      </c>
      <c r="N577" s="47" t="s">
        <v>1131</v>
      </c>
      <c r="O577" s="48" t="str">
        <f>IFERROR(_xlfn.XLOOKUP(C577, Data!$A$2:$A$236, Data!$C$2:$C$236), "")</f>
        <v>Mr. Lipu Sir</v>
      </c>
    </row>
    <row r="578" spans="1:15" ht="42" customHeight="1" x14ac:dyDescent="0.35">
      <c r="A578" s="41">
        <f t="shared" si="2"/>
        <v>191</v>
      </c>
      <c r="B578" s="110" t="s">
        <v>1126</v>
      </c>
      <c r="C578" s="44" t="s">
        <v>124</v>
      </c>
      <c r="D578" s="45" t="s">
        <v>125</v>
      </c>
      <c r="E578" s="46" t="s">
        <v>1127</v>
      </c>
      <c r="F578" s="33" t="s">
        <v>1102</v>
      </c>
      <c r="G578" s="40">
        <v>46077</v>
      </c>
      <c r="H578" s="35">
        <v>6175</v>
      </c>
      <c r="I578" s="36"/>
      <c r="J578" s="35">
        <f>SUM(Table1[[#This Row],[LC Value]:[Amd Value]])</f>
        <v>6175</v>
      </c>
      <c r="K578" s="36">
        <v>3.1</v>
      </c>
      <c r="L578" s="37">
        <v>2000</v>
      </c>
      <c r="M578" s="47" t="s">
        <v>614</v>
      </c>
      <c r="N578" s="47" t="s">
        <v>807</v>
      </c>
      <c r="O578" s="48" t="str">
        <f>IFERROR(_xlfn.XLOOKUP(C578, Data!$A$2:$A$236, Data!$C$2:$C$236), "")</f>
        <v>Mr. Lipu Sir</v>
      </c>
    </row>
    <row r="579" spans="1:15" ht="42" customHeight="1" x14ac:dyDescent="0.35">
      <c r="A579" s="41">
        <f t="shared" si="2"/>
        <v>190</v>
      </c>
      <c r="B579" s="110" t="s">
        <v>1121</v>
      </c>
      <c r="C579" s="44" t="s">
        <v>138</v>
      </c>
      <c r="D579" s="45" t="s">
        <v>1125</v>
      </c>
      <c r="E579" s="46" t="s">
        <v>1122</v>
      </c>
      <c r="F579" s="33" t="s">
        <v>562</v>
      </c>
      <c r="G579" s="40">
        <v>46072</v>
      </c>
      <c r="H579" s="35">
        <v>211575</v>
      </c>
      <c r="I579" s="36"/>
      <c r="J579" s="35">
        <f>SUM(Table1[[#This Row],[LC Value]:[Amd Value]])</f>
        <v>211575</v>
      </c>
      <c r="K579" s="36">
        <v>3.25</v>
      </c>
      <c r="L579" s="37">
        <v>65100</v>
      </c>
      <c r="M579" s="47" t="s">
        <v>823</v>
      </c>
      <c r="N579" s="47" t="s">
        <v>843</v>
      </c>
      <c r="O579" s="48" t="str">
        <f>IFERROR(_xlfn.XLOOKUP(C579, Data!$A$2:$A$236, Data!$C$2:$C$236), "")</f>
        <v>Mr. Amran Sir</v>
      </c>
    </row>
    <row r="580" spans="1:15" ht="42" customHeight="1" x14ac:dyDescent="0.35">
      <c r="A580" s="41">
        <f t="shared" si="2"/>
        <v>189</v>
      </c>
      <c r="B580" s="110" t="s">
        <v>1119</v>
      </c>
      <c r="C580" s="44" t="s">
        <v>185</v>
      </c>
      <c r="D580" s="45" t="s">
        <v>115</v>
      </c>
      <c r="E580" s="46" t="s">
        <v>1120</v>
      </c>
      <c r="F580" s="33" t="s">
        <v>1102</v>
      </c>
      <c r="G580" s="40">
        <v>46072</v>
      </c>
      <c r="H580" s="35">
        <f>9080+10395</f>
        <v>19475</v>
      </c>
      <c r="I580" s="36">
        <v>341.8</v>
      </c>
      <c r="J580" s="35">
        <f>SUM(Table1[[#This Row],[LC Value]:[Amd Value]])</f>
        <v>19816.8</v>
      </c>
      <c r="K580" s="36">
        <v>3.25</v>
      </c>
      <c r="L580" s="37">
        <f>2600+3300</f>
        <v>5900</v>
      </c>
      <c r="M580" s="47" t="s">
        <v>618</v>
      </c>
      <c r="N580" s="47" t="s">
        <v>931</v>
      </c>
      <c r="O580" s="48" t="str">
        <f>IFERROR(_xlfn.XLOOKUP(C580, Data!$A$2:$A$236, Data!$C$2:$C$236), "")</f>
        <v>Director Sir</v>
      </c>
    </row>
    <row r="581" spans="1:15" ht="42" customHeight="1" x14ac:dyDescent="0.35">
      <c r="A581" s="41">
        <f t="shared" si="2"/>
        <v>188</v>
      </c>
      <c r="B581" s="110" t="s">
        <v>1117</v>
      </c>
      <c r="C581" s="44" t="s">
        <v>199</v>
      </c>
      <c r="D581" s="45" t="s">
        <v>353</v>
      </c>
      <c r="E581" s="46" t="s">
        <v>1118</v>
      </c>
      <c r="F581" s="33" t="s">
        <v>1102</v>
      </c>
      <c r="G581" s="40">
        <v>46072</v>
      </c>
      <c r="H581" s="35">
        <v>180960</v>
      </c>
      <c r="I581" s="36"/>
      <c r="J581" s="35">
        <f>SUM(Table1[[#This Row],[LC Value]:[Amd Value]])</f>
        <v>180960</v>
      </c>
      <c r="K581" s="36">
        <v>3.1</v>
      </c>
      <c r="L581" s="37">
        <v>58000</v>
      </c>
      <c r="M581" s="47" t="s">
        <v>618</v>
      </c>
      <c r="N581" s="47" t="s">
        <v>931</v>
      </c>
      <c r="O581" s="48" t="str">
        <f>IFERROR(_xlfn.XLOOKUP(C581, Data!$A$2:$A$236, Data!$C$2:$C$236), "")</f>
        <v>MD. Sir</v>
      </c>
    </row>
    <row r="582" spans="1:15" ht="42" customHeight="1" x14ac:dyDescent="0.35">
      <c r="A582" s="41">
        <f t="shared" si="2"/>
        <v>187</v>
      </c>
      <c r="B582" s="110" t="s">
        <v>1115</v>
      </c>
      <c r="C582" s="44" t="s">
        <v>200</v>
      </c>
      <c r="D582" s="45" t="s">
        <v>98</v>
      </c>
      <c r="E582" s="46" t="s">
        <v>1116</v>
      </c>
      <c r="F582" s="33" t="s">
        <v>1102</v>
      </c>
      <c r="G582" s="40">
        <v>46072</v>
      </c>
      <c r="H582" s="35">
        <v>16805</v>
      </c>
      <c r="I582" s="36"/>
      <c r="J582" s="35">
        <f>SUM(Table1[[#This Row],[LC Value]:[Amd Value]])</f>
        <v>16805</v>
      </c>
      <c r="K582" s="36">
        <v>3.3</v>
      </c>
      <c r="L582" s="37">
        <v>4350</v>
      </c>
      <c r="M582" s="47" t="s">
        <v>618</v>
      </c>
      <c r="N582" s="47" t="s">
        <v>931</v>
      </c>
      <c r="O582" s="48" t="str">
        <f>IFERROR(_xlfn.XLOOKUP(C582, Data!$A$2:$A$236, Data!$C$2:$C$236), "")</f>
        <v>MD. Sir</v>
      </c>
    </row>
    <row r="583" spans="1:15" ht="42" customHeight="1" x14ac:dyDescent="0.35">
      <c r="A583" s="41">
        <f t="shared" si="2"/>
        <v>186</v>
      </c>
      <c r="B583" s="110" t="s">
        <v>1113</v>
      </c>
      <c r="C583" s="44" t="s">
        <v>242</v>
      </c>
      <c r="D583" s="45" t="s">
        <v>298</v>
      </c>
      <c r="E583" s="46" t="s">
        <v>1114</v>
      </c>
      <c r="F583" s="33" t="s">
        <v>1102</v>
      </c>
      <c r="G583" s="40">
        <v>46072</v>
      </c>
      <c r="H583" s="35">
        <v>25370</v>
      </c>
      <c r="I583" s="36"/>
      <c r="J583" s="35">
        <f>SUM(Table1[[#This Row],[LC Value]:[Amd Value]])</f>
        <v>25370</v>
      </c>
      <c r="K583" s="36">
        <v>2.95</v>
      </c>
      <c r="L583" s="37">
        <v>8600</v>
      </c>
      <c r="M583" s="47" t="s">
        <v>618</v>
      </c>
      <c r="N583" s="47" t="s">
        <v>931</v>
      </c>
      <c r="O583" s="48" t="str">
        <f>IFERROR(_xlfn.XLOOKUP(C583, Data!$A$2:$A$236, Data!$C$2:$C$236), "")</f>
        <v>Mr. Reza Sir</v>
      </c>
    </row>
    <row r="584" spans="1:15" ht="42" customHeight="1" x14ac:dyDescent="0.35">
      <c r="A584" s="41">
        <f t="shared" si="2"/>
        <v>185</v>
      </c>
      <c r="B584" s="110" t="s">
        <v>1111</v>
      </c>
      <c r="C584" s="44" t="s">
        <v>242</v>
      </c>
      <c r="D584" s="45" t="s">
        <v>298</v>
      </c>
      <c r="E584" s="46" t="s">
        <v>1112</v>
      </c>
      <c r="F584" s="33" t="s">
        <v>1102</v>
      </c>
      <c r="G584" s="40">
        <v>46072</v>
      </c>
      <c r="H584" s="35">
        <v>14750</v>
      </c>
      <c r="I584" s="36"/>
      <c r="J584" s="35">
        <f>SUM(Table1[[#This Row],[LC Value]:[Amd Value]])</f>
        <v>14750</v>
      </c>
      <c r="K584" s="36">
        <v>2.95</v>
      </c>
      <c r="L584" s="37">
        <v>14750</v>
      </c>
      <c r="M584" s="47" t="s">
        <v>618</v>
      </c>
      <c r="N584" s="47" t="s">
        <v>931</v>
      </c>
      <c r="O584" s="48" t="str">
        <f>IFERROR(_xlfn.XLOOKUP(C584, Data!$A$2:$A$236, Data!$C$2:$C$236), "")</f>
        <v>Mr. Reza Sir</v>
      </c>
    </row>
    <row r="585" spans="1:15" ht="42" customHeight="1" x14ac:dyDescent="0.35">
      <c r="A585" s="41">
        <f t="shared" si="2"/>
        <v>184</v>
      </c>
      <c r="B585" s="110" t="s">
        <v>1103</v>
      </c>
      <c r="C585" s="44" t="s">
        <v>200</v>
      </c>
      <c r="D585" s="45" t="s">
        <v>79</v>
      </c>
      <c r="E585" s="46" t="s">
        <v>1104</v>
      </c>
      <c r="F585" s="33" t="s">
        <v>1102</v>
      </c>
      <c r="G585" s="40">
        <v>46072</v>
      </c>
      <c r="H585" s="35">
        <v>8702.5</v>
      </c>
      <c r="I585" s="36"/>
      <c r="J585" s="35">
        <f>SUM(Table1[[#This Row],[LC Value]:[Amd Value]])</f>
        <v>8702.5</v>
      </c>
      <c r="K585" s="36">
        <v>2.4</v>
      </c>
      <c r="L585" s="37">
        <v>3600</v>
      </c>
      <c r="M585" s="47" t="s">
        <v>614</v>
      </c>
      <c r="N585" s="47" t="s">
        <v>807</v>
      </c>
      <c r="O585" s="48" t="str">
        <f>IFERROR(_xlfn.XLOOKUP(C585, Data!$A$2:$A$236, Data!$C$2:$C$236), "")</f>
        <v>MD. Sir</v>
      </c>
    </row>
    <row r="586" spans="1:15" ht="42" customHeight="1" x14ac:dyDescent="0.35">
      <c r="A586" s="41">
        <f t="shared" si="2"/>
        <v>183</v>
      </c>
      <c r="B586" s="110" t="s">
        <v>1096</v>
      </c>
      <c r="C586" s="44" t="s">
        <v>1097</v>
      </c>
      <c r="D586" s="45" t="s">
        <v>226</v>
      </c>
      <c r="E586" s="46" t="s">
        <v>1098</v>
      </c>
      <c r="F586" s="33" t="s">
        <v>350</v>
      </c>
      <c r="G586" s="40">
        <v>46072</v>
      </c>
      <c r="H586" s="35">
        <v>98032.5</v>
      </c>
      <c r="I586" s="36"/>
      <c r="J586" s="35">
        <f>SUM(Table1[[#This Row],[LC Value]:[Amd Value]])</f>
        <v>98032.5</v>
      </c>
      <c r="K586" s="36">
        <v>3</v>
      </c>
      <c r="L586" s="37">
        <v>30700</v>
      </c>
      <c r="M586" s="47" t="s">
        <v>416</v>
      </c>
      <c r="N586" s="47" t="s">
        <v>614</v>
      </c>
      <c r="O586" s="48" t="str">
        <f>IFERROR(_xlfn.XLOOKUP(C586, Data!$A$2:$A$236, Data!$C$2:$C$236), "")</f>
        <v>Mr. Wadud Sir</v>
      </c>
    </row>
    <row r="587" spans="1:15" ht="42" customHeight="1" x14ac:dyDescent="0.35">
      <c r="A587" s="41">
        <f t="shared" si="2"/>
        <v>182</v>
      </c>
      <c r="B587" s="110" t="s">
        <v>1091</v>
      </c>
      <c r="C587" s="44" t="s">
        <v>104</v>
      </c>
      <c r="D587" s="45" t="s">
        <v>105</v>
      </c>
      <c r="E587" s="46" t="s">
        <v>1092</v>
      </c>
      <c r="F587" s="33" t="s">
        <v>350</v>
      </c>
      <c r="G587" s="40">
        <v>46072</v>
      </c>
      <c r="H587" s="35">
        <v>22352.5</v>
      </c>
      <c r="I587" s="36"/>
      <c r="J587" s="35">
        <f>SUM(Table1[[#This Row],[LC Value]:[Amd Value]])</f>
        <v>22352.5</v>
      </c>
      <c r="K587" s="36">
        <v>3.35</v>
      </c>
      <c r="L587" s="37">
        <v>7650</v>
      </c>
      <c r="M587" s="47" t="s">
        <v>1094</v>
      </c>
      <c r="N587" s="47" t="s">
        <v>1095</v>
      </c>
      <c r="O587" s="48" t="str">
        <f>IFERROR(_xlfn.XLOOKUP(C587, Data!$A$2:$A$236, Data!$C$2:$C$236), "")</f>
        <v>Mr. Wadud Sir</v>
      </c>
    </row>
    <row r="588" spans="1:15" ht="42" customHeight="1" x14ac:dyDescent="0.35">
      <c r="A588" s="41">
        <f t="shared" si="2"/>
        <v>181</v>
      </c>
      <c r="B588" s="110" t="s">
        <v>1089</v>
      </c>
      <c r="C588" s="44" t="s">
        <v>199</v>
      </c>
      <c r="D588" s="45" t="s">
        <v>353</v>
      </c>
      <c r="E588" s="46" t="s">
        <v>1090</v>
      </c>
      <c r="F588" s="33" t="s">
        <v>350</v>
      </c>
      <c r="G588" s="40">
        <v>46072</v>
      </c>
      <c r="H588" s="35">
        <v>72000</v>
      </c>
      <c r="I588" s="36"/>
      <c r="J588" s="35">
        <f>SUM(Table1[[#This Row],[LC Value]:[Amd Value]])</f>
        <v>72000</v>
      </c>
      <c r="K588" s="36">
        <v>2.4</v>
      </c>
      <c r="L588" s="37">
        <v>30000</v>
      </c>
      <c r="M588" s="47" t="s">
        <v>618</v>
      </c>
      <c r="N588" s="47" t="s">
        <v>843</v>
      </c>
      <c r="O588" s="48" t="str">
        <f>IFERROR(_xlfn.XLOOKUP(C588, Data!$A$2:$A$236, Data!$C$2:$C$236), "")</f>
        <v>MD. Sir</v>
      </c>
    </row>
    <row r="589" spans="1:15" ht="42" customHeight="1" x14ac:dyDescent="0.35">
      <c r="A589" s="41">
        <f t="shared" si="2"/>
        <v>180</v>
      </c>
      <c r="B589" s="110" t="s">
        <v>1084</v>
      </c>
      <c r="C589" s="44" t="s">
        <v>264</v>
      </c>
      <c r="D589" s="45" t="s">
        <v>61</v>
      </c>
      <c r="E589" s="46" t="s">
        <v>1085</v>
      </c>
      <c r="F589" s="33" t="s">
        <v>361</v>
      </c>
      <c r="G589" s="40">
        <v>46083</v>
      </c>
      <c r="H589" s="35">
        <v>32370</v>
      </c>
      <c r="I589" s="36"/>
      <c r="J589" s="35">
        <f>SUM(Table1[[#This Row],[LC Value]:[Amd Value]])</f>
        <v>32370</v>
      </c>
      <c r="K589" s="36">
        <v>3.85</v>
      </c>
      <c r="L589" s="37">
        <v>8400</v>
      </c>
      <c r="M589" s="47" t="s">
        <v>618</v>
      </c>
      <c r="N589" s="47" t="s">
        <v>843</v>
      </c>
      <c r="O589" s="48" t="str">
        <f>IFERROR(_xlfn.XLOOKUP(C589, Data!$A$2:$A$236, Data!$C$2:$C$236), "")</f>
        <v>Mr. Lipu Sir</v>
      </c>
    </row>
    <row r="590" spans="1:15" ht="42" customHeight="1" x14ac:dyDescent="0.35">
      <c r="A590" s="41">
        <f t="shared" si="2"/>
        <v>179</v>
      </c>
      <c r="B590" s="110" t="s">
        <v>1079</v>
      </c>
      <c r="C590" s="44" t="s">
        <v>185</v>
      </c>
      <c r="D590" s="45" t="s">
        <v>115</v>
      </c>
      <c r="E590" s="46" t="s">
        <v>1080</v>
      </c>
      <c r="F590" s="33" t="s">
        <v>1081</v>
      </c>
      <c r="G590" s="40">
        <v>46070</v>
      </c>
      <c r="H590" s="35">
        <f>9140+72495</f>
        <v>81635</v>
      </c>
      <c r="I590" s="36"/>
      <c r="J590" s="35">
        <f>SUM(Table1[[#This Row],[LC Value]:[Amd Value]])</f>
        <v>81635</v>
      </c>
      <c r="K590" s="36">
        <v>3.35</v>
      </c>
      <c r="L590" s="37">
        <f>9140+21500</f>
        <v>30640</v>
      </c>
      <c r="M590" s="47" t="s">
        <v>1082</v>
      </c>
      <c r="N590" s="47" t="s">
        <v>1083</v>
      </c>
      <c r="O590" s="48" t="str">
        <f>IFERROR(_xlfn.XLOOKUP(C590, Data!$A$2:$A$236, Data!$C$2:$C$236), "")</f>
        <v>Director Sir</v>
      </c>
    </row>
    <row r="591" spans="1:15" ht="42" customHeight="1" x14ac:dyDescent="0.35">
      <c r="A591" s="41">
        <f t="shared" si="2"/>
        <v>178</v>
      </c>
      <c r="B591" s="110" t="s">
        <v>1077</v>
      </c>
      <c r="C591" s="44" t="s">
        <v>97</v>
      </c>
      <c r="D591" s="45" t="s">
        <v>98</v>
      </c>
      <c r="E591" s="46" t="s">
        <v>1078</v>
      </c>
      <c r="F591" s="33" t="s">
        <v>350</v>
      </c>
      <c r="G591" s="40">
        <v>46072</v>
      </c>
      <c r="H591" s="35">
        <v>7585</v>
      </c>
      <c r="I591" s="36"/>
      <c r="J591" s="35">
        <f>SUM(Table1[[#This Row],[LC Value]:[Amd Value]])</f>
        <v>7585</v>
      </c>
      <c r="K591" s="36">
        <v>3.7</v>
      </c>
      <c r="L591" s="37">
        <v>2050</v>
      </c>
      <c r="M591" s="47" t="s">
        <v>449</v>
      </c>
      <c r="N591" s="47" t="s">
        <v>843</v>
      </c>
      <c r="O591" s="48" t="str">
        <f>IFERROR(_xlfn.XLOOKUP(C591, Data!$A$2:$A$236, Data!$C$2:$C$236), "")</f>
        <v>Mr. Reza Sir</v>
      </c>
    </row>
    <row r="592" spans="1:15" ht="42" customHeight="1" x14ac:dyDescent="0.35">
      <c r="A592" s="41">
        <f t="shared" si="2"/>
        <v>177</v>
      </c>
      <c r="B592" s="110" t="s">
        <v>1075</v>
      </c>
      <c r="C592" s="44" t="s">
        <v>68</v>
      </c>
      <c r="D592" s="45" t="s">
        <v>414</v>
      </c>
      <c r="E592" s="46" t="s">
        <v>1076</v>
      </c>
      <c r="F592" s="33" t="s">
        <v>361</v>
      </c>
      <c r="G592" s="40">
        <v>46070</v>
      </c>
      <c r="H592" s="35">
        <v>43200</v>
      </c>
      <c r="I592" s="36"/>
      <c r="J592" s="35">
        <f>SUM(Table1[[#This Row],[LC Value]:[Amd Value]])</f>
        <v>43200</v>
      </c>
      <c r="K592" s="36">
        <v>3.6</v>
      </c>
      <c r="L592" s="37">
        <v>12000</v>
      </c>
      <c r="M592" s="47" t="s">
        <v>783</v>
      </c>
      <c r="N592" s="47" t="s">
        <v>782</v>
      </c>
      <c r="O592" s="48" t="str">
        <f>IFERROR(_xlfn.XLOOKUP(C592, Data!$A$2:$A$236, Data!$C$2:$C$236), "")</f>
        <v>Director Sir</v>
      </c>
    </row>
    <row r="593" spans="1:15" ht="42" customHeight="1" x14ac:dyDescent="0.35">
      <c r="A593" s="41">
        <f t="shared" si="2"/>
        <v>176</v>
      </c>
      <c r="B593" s="110" t="s">
        <v>1073</v>
      </c>
      <c r="C593" s="44" t="s">
        <v>200</v>
      </c>
      <c r="D593" s="45" t="s">
        <v>79</v>
      </c>
      <c r="E593" s="46" t="s">
        <v>1074</v>
      </c>
      <c r="F593" s="33" t="s">
        <v>562</v>
      </c>
      <c r="G593" s="40">
        <v>46070</v>
      </c>
      <c r="H593" s="35">
        <v>18220</v>
      </c>
      <c r="I593" s="36"/>
      <c r="J593" s="35">
        <f>SUM(Table1[[#This Row],[LC Value]:[Amd Value]])</f>
        <v>18220</v>
      </c>
      <c r="K593" s="36">
        <v>3</v>
      </c>
      <c r="L593" s="37">
        <v>5900</v>
      </c>
      <c r="M593" s="47" t="s">
        <v>417</v>
      </c>
      <c r="N593" s="47" t="s">
        <v>452</v>
      </c>
      <c r="O593" s="48" t="str">
        <f>IFERROR(_xlfn.XLOOKUP(C593, Data!$A$2:$A$236, Data!$C$2:$C$236), "")</f>
        <v>MD. Sir</v>
      </c>
    </row>
    <row r="594" spans="1:15" ht="42" customHeight="1" x14ac:dyDescent="0.35">
      <c r="A594" s="41">
        <f t="shared" si="2"/>
        <v>175</v>
      </c>
      <c r="B594" s="110" t="s">
        <v>1071</v>
      </c>
      <c r="C594" s="44" t="s">
        <v>200</v>
      </c>
      <c r="D594" s="45" t="s">
        <v>98</v>
      </c>
      <c r="E594" s="46" t="s">
        <v>1072</v>
      </c>
      <c r="F594" s="33" t="s">
        <v>562</v>
      </c>
      <c r="G594" s="40">
        <v>46070</v>
      </c>
      <c r="H594" s="35">
        <f>16852.5+11285+1380+1500+1935+1372.5+5437.5+105120</f>
        <v>144882.5</v>
      </c>
      <c r="I594" s="36"/>
      <c r="J594" s="35">
        <f>SUM(Table1[[#This Row],[LC Value]:[Amd Value]])</f>
        <v>144882.5</v>
      </c>
      <c r="K594" s="36">
        <v>3</v>
      </c>
      <c r="L594" s="37">
        <v>34350</v>
      </c>
      <c r="M594" s="47" t="s">
        <v>417</v>
      </c>
      <c r="N594" s="47" t="s">
        <v>452</v>
      </c>
      <c r="O594" s="48" t="str">
        <f>IFERROR(_xlfn.XLOOKUP(C594, Data!$A$2:$A$236, Data!$C$2:$C$236), "")</f>
        <v>MD. Sir</v>
      </c>
    </row>
    <row r="595" spans="1:15" ht="42" customHeight="1" x14ac:dyDescent="0.35">
      <c r="A595" s="41">
        <f t="shared" si="2"/>
        <v>174</v>
      </c>
      <c r="B595" s="110" t="s">
        <v>1069</v>
      </c>
      <c r="C595" s="44" t="s">
        <v>200</v>
      </c>
      <c r="D595" s="45" t="s">
        <v>79</v>
      </c>
      <c r="E595" s="46" t="s">
        <v>1070</v>
      </c>
      <c r="F595" s="33" t="s">
        <v>562</v>
      </c>
      <c r="G595" s="40">
        <v>46072</v>
      </c>
      <c r="H595" s="35">
        <f>56160+56795+167795</f>
        <v>280750</v>
      </c>
      <c r="I595" s="36"/>
      <c r="J595" s="35">
        <f>SUM(Table1[[#This Row],[LC Value]:[Amd Value]])</f>
        <v>280750</v>
      </c>
      <c r="K595" s="36">
        <v>3</v>
      </c>
      <c r="L595" s="37">
        <v>34350</v>
      </c>
      <c r="M595" s="47" t="s">
        <v>417</v>
      </c>
      <c r="N595" s="47" t="s">
        <v>452</v>
      </c>
      <c r="O595" s="48" t="str">
        <f>IFERROR(_xlfn.XLOOKUP(C595, Data!$A$2:$A$236, Data!$C$2:$C$236), "")</f>
        <v>MD. Sir</v>
      </c>
    </row>
    <row r="596" spans="1:15" ht="42" customHeight="1" x14ac:dyDescent="0.35">
      <c r="A596" s="41">
        <f t="shared" si="2"/>
        <v>173</v>
      </c>
      <c r="B596" s="110" t="s">
        <v>1046</v>
      </c>
      <c r="C596" s="44" t="s">
        <v>1058</v>
      </c>
      <c r="D596" s="45" t="s">
        <v>95</v>
      </c>
      <c r="E596" s="46" t="s">
        <v>1060</v>
      </c>
      <c r="F596" s="33" t="s">
        <v>562</v>
      </c>
      <c r="G596" s="40">
        <v>46072</v>
      </c>
      <c r="H596" s="35">
        <v>103145</v>
      </c>
      <c r="I596" s="36"/>
      <c r="J596" s="35">
        <f>SUM(Table1[[#This Row],[LC Value]:[Amd Value]])</f>
        <v>103145</v>
      </c>
      <c r="K596" s="36">
        <v>3</v>
      </c>
      <c r="L596" s="37">
        <v>34350</v>
      </c>
      <c r="M596" s="47" t="s">
        <v>417</v>
      </c>
      <c r="N596" s="47" t="s">
        <v>452</v>
      </c>
      <c r="O596" s="48" t="str">
        <f>IFERROR(_xlfn.XLOOKUP(C596, Data!$A$2:$A$236, Data!$C$2:$C$236), "")</f>
        <v>Mr. Reza Sir</v>
      </c>
    </row>
    <row r="597" spans="1:15" ht="42" customHeight="1" x14ac:dyDescent="0.35">
      <c r="A597" s="41">
        <f t="shared" si="2"/>
        <v>172</v>
      </c>
      <c r="B597" s="110" t="s">
        <v>1056</v>
      </c>
      <c r="C597" s="44" t="s">
        <v>201</v>
      </c>
      <c r="D597" s="45" t="s">
        <v>21</v>
      </c>
      <c r="E597" s="46" t="s">
        <v>1057</v>
      </c>
      <c r="F597" s="33" t="s">
        <v>361</v>
      </c>
      <c r="G597" s="40">
        <v>46070</v>
      </c>
      <c r="H597" s="35">
        <f>162500+162500+142760</f>
        <v>467760</v>
      </c>
      <c r="I597" s="36"/>
      <c r="J597" s="35">
        <f>SUM(Table1[[#This Row],[LC Value]:[Amd Value]])</f>
        <v>467760</v>
      </c>
      <c r="K597" s="36">
        <v>3.25</v>
      </c>
      <c r="L597" s="37">
        <v>143000</v>
      </c>
      <c r="M597" s="47" t="s">
        <v>956</v>
      </c>
      <c r="N597" s="47" t="s">
        <v>955</v>
      </c>
      <c r="O597" s="48" t="str">
        <f>IFERROR(_xlfn.XLOOKUP(C597, Data!$A$2:$A$236, Data!$C$2:$C$236), "")</f>
        <v>Director Sir</v>
      </c>
    </row>
    <row r="598" spans="1:15" ht="42" customHeight="1" x14ac:dyDescent="0.35">
      <c r="A598" s="41">
        <f t="shared" si="2"/>
        <v>171</v>
      </c>
      <c r="B598" s="110" t="s">
        <v>1053</v>
      </c>
      <c r="C598" s="44" t="s">
        <v>62</v>
      </c>
      <c r="D598" s="45" t="s">
        <v>191</v>
      </c>
      <c r="E598" s="46" t="s">
        <v>1054</v>
      </c>
      <c r="F598" s="33" t="s">
        <v>562</v>
      </c>
      <c r="G598" s="40">
        <v>46070</v>
      </c>
      <c r="H598" s="35">
        <v>306750</v>
      </c>
      <c r="I598" s="36"/>
      <c r="J598" s="35">
        <f>SUM(Table1[[#This Row],[LC Value]:[Amd Value]])</f>
        <v>306750</v>
      </c>
      <c r="K598" s="36">
        <v>3</v>
      </c>
      <c r="L598" s="37">
        <v>102250</v>
      </c>
      <c r="M598" s="47" t="s">
        <v>877</v>
      </c>
      <c r="N598" s="47" t="s">
        <v>936</v>
      </c>
      <c r="O598" s="48" t="str">
        <f>IFERROR(_xlfn.XLOOKUP(C598, Data!$A$2:$A$236, Data!$C$2:$C$236), "")</f>
        <v>Mr. Lipu Sir</v>
      </c>
    </row>
    <row r="599" spans="1:15" ht="42" customHeight="1" x14ac:dyDescent="0.35">
      <c r="A599" s="41">
        <f t="shared" si="2"/>
        <v>170</v>
      </c>
      <c r="B599" s="110" t="s">
        <v>1051</v>
      </c>
      <c r="C599" s="44" t="s">
        <v>64</v>
      </c>
      <c r="D599" s="45" t="s">
        <v>21</v>
      </c>
      <c r="E599" s="46" t="s">
        <v>1052</v>
      </c>
      <c r="F599" s="33" t="s">
        <v>562</v>
      </c>
      <c r="G599" s="40">
        <v>46070</v>
      </c>
      <c r="H599" s="35">
        <v>13825</v>
      </c>
      <c r="I599" s="36">
        <v>67100</v>
      </c>
      <c r="J599" s="35">
        <f>SUM(Table1[[#This Row],[LC Value]:[Amd Value]])</f>
        <v>80925</v>
      </c>
      <c r="K599" s="36">
        <v>3.05</v>
      </c>
      <c r="L599" s="37">
        <v>4500</v>
      </c>
      <c r="M599" s="47" t="s">
        <v>969</v>
      </c>
      <c r="N599" s="47" t="s">
        <v>1010</v>
      </c>
      <c r="O599" s="48" t="str">
        <f>IFERROR(_xlfn.XLOOKUP(C599, Data!$A$2:$A$236, Data!$C$2:$C$236), "")</f>
        <v>Mr. Reza Sir</v>
      </c>
    </row>
    <row r="600" spans="1:15" ht="42" customHeight="1" x14ac:dyDescent="0.35">
      <c r="A600" s="41">
        <f t="shared" si="2"/>
        <v>169</v>
      </c>
      <c r="B600" s="110" t="s">
        <v>1049</v>
      </c>
      <c r="C600" s="44" t="s">
        <v>201</v>
      </c>
      <c r="D600" s="45" t="s">
        <v>21</v>
      </c>
      <c r="E600" s="46" t="s">
        <v>1050</v>
      </c>
      <c r="F600" s="33" t="s">
        <v>562</v>
      </c>
      <c r="G600" s="40">
        <v>46070</v>
      </c>
      <c r="H600" s="35">
        <f>162500+166000</f>
        <v>328500</v>
      </c>
      <c r="I600" s="36"/>
      <c r="J600" s="35">
        <f>SUM(Table1[[#This Row],[LC Value]:[Amd Value]])</f>
        <v>328500</v>
      </c>
      <c r="K600" s="36">
        <v>3.25</v>
      </c>
      <c r="L600" s="37">
        <v>100000</v>
      </c>
      <c r="M600" s="47" t="s">
        <v>956</v>
      </c>
      <c r="N600" s="47" t="s">
        <v>955</v>
      </c>
      <c r="O600" s="48" t="str">
        <f>IFERROR(_xlfn.XLOOKUP(C600, Data!$A$2:$A$236, Data!$C$2:$C$236), "")</f>
        <v>Director Sir</v>
      </c>
    </row>
    <row r="601" spans="1:15" ht="42" customHeight="1" x14ac:dyDescent="0.35">
      <c r="A601" s="41">
        <f t="shared" si="2"/>
        <v>168</v>
      </c>
      <c r="B601" s="110" t="s">
        <v>1059</v>
      </c>
      <c r="C601" s="44" t="s">
        <v>288</v>
      </c>
      <c r="D601" s="45" t="s">
        <v>1168</v>
      </c>
      <c r="E601" s="46" t="s">
        <v>1047</v>
      </c>
      <c r="F601" s="33" t="s">
        <v>562</v>
      </c>
      <c r="G601" s="40">
        <v>46070</v>
      </c>
      <c r="H601" s="35">
        <v>14640</v>
      </c>
      <c r="I601" s="36"/>
      <c r="J601" s="35">
        <f>SUM(Table1[[#This Row],[LC Value]:[Amd Value]])</f>
        <v>14640</v>
      </c>
      <c r="K601" s="36">
        <v>3.05</v>
      </c>
      <c r="L601" s="37">
        <v>4800</v>
      </c>
      <c r="M601" s="47" t="s">
        <v>581</v>
      </c>
      <c r="N601" s="47" t="s">
        <v>614</v>
      </c>
      <c r="O601" s="48" t="str">
        <f>IFERROR(_xlfn.XLOOKUP(C601, Data!$A$2:$A$236, Data!$C$2:$C$236), "")</f>
        <v>Mr. Reza Sir</v>
      </c>
    </row>
    <row r="602" spans="1:15" ht="42" customHeight="1" x14ac:dyDescent="0.35">
      <c r="A602" s="41">
        <f t="shared" si="2"/>
        <v>167</v>
      </c>
      <c r="B602" s="110" t="s">
        <v>1042</v>
      </c>
      <c r="C602" s="44" t="s">
        <v>185</v>
      </c>
      <c r="D602" s="45" t="s">
        <v>115</v>
      </c>
      <c r="E602" s="46" t="s">
        <v>1043</v>
      </c>
      <c r="F602" s="33" t="s">
        <v>562</v>
      </c>
      <c r="G602" s="40">
        <v>46070</v>
      </c>
      <c r="H602" s="35">
        <v>246000</v>
      </c>
      <c r="I602" s="36"/>
      <c r="J602" s="35">
        <f>SUM(Table1[[#This Row],[LC Value]:[Amd Value]])</f>
        <v>246000</v>
      </c>
      <c r="K602" s="36">
        <v>4.0999999999999996</v>
      </c>
      <c r="L602" s="37">
        <v>60000</v>
      </c>
      <c r="M602" s="47" t="s">
        <v>1045</v>
      </c>
      <c r="N602" s="47" t="s">
        <v>1044</v>
      </c>
      <c r="O602" s="48" t="str">
        <f>IFERROR(_xlfn.XLOOKUP(C602, Data!$A$2:$A$236, Data!$C$2:$C$236), "")</f>
        <v>Director Sir</v>
      </c>
    </row>
    <row r="603" spans="1:15" ht="42" customHeight="1" x14ac:dyDescent="0.35">
      <c r="A603" s="41">
        <f t="shared" si="2"/>
        <v>166</v>
      </c>
      <c r="B603" s="110" t="s">
        <v>1038</v>
      </c>
      <c r="C603" s="44" t="s">
        <v>199</v>
      </c>
      <c r="D603" s="45" t="s">
        <v>32</v>
      </c>
      <c r="E603" s="46" t="s">
        <v>1039</v>
      </c>
      <c r="F603" s="33" t="s">
        <v>562</v>
      </c>
      <c r="G603" s="40">
        <v>46070</v>
      </c>
      <c r="H603" s="35">
        <v>43800</v>
      </c>
      <c r="I603" s="36"/>
      <c r="J603" s="35">
        <f>SUM(Table1[[#This Row],[LC Value]:[Amd Value]])</f>
        <v>43800</v>
      </c>
      <c r="K603" s="36">
        <v>7.3</v>
      </c>
      <c r="L603" s="37">
        <v>6000</v>
      </c>
      <c r="M603" s="47" t="s">
        <v>1041</v>
      </c>
      <c r="N603" s="47" t="s">
        <v>1040</v>
      </c>
      <c r="O603" s="48" t="str">
        <f>IFERROR(_xlfn.XLOOKUP(C603, Data!$A$2:$A$236, Data!$C$2:$C$236), "")</f>
        <v>MD. Sir</v>
      </c>
    </row>
    <row r="604" spans="1:15" ht="42" customHeight="1" x14ac:dyDescent="0.35">
      <c r="A604" s="41">
        <f t="shared" si="2"/>
        <v>165</v>
      </c>
      <c r="B604" s="110" t="s">
        <v>1031</v>
      </c>
      <c r="C604" s="44" t="s">
        <v>90</v>
      </c>
      <c r="D604" s="45" t="s">
        <v>79</v>
      </c>
      <c r="E604" s="46" t="s">
        <v>1032</v>
      </c>
      <c r="F604" s="33" t="s">
        <v>562</v>
      </c>
      <c r="G604" s="40">
        <v>46070</v>
      </c>
      <c r="H604" s="35">
        <v>40000</v>
      </c>
      <c r="I604" s="36"/>
      <c r="J604" s="35">
        <f>SUM(Table1[[#This Row],[LC Value]:[Amd Value]])</f>
        <v>40000</v>
      </c>
      <c r="K604" s="36">
        <v>8</v>
      </c>
      <c r="L604" s="37">
        <v>5000</v>
      </c>
      <c r="M604" s="47" t="s">
        <v>823</v>
      </c>
      <c r="N604" s="47" t="s">
        <v>843</v>
      </c>
      <c r="O604" s="48" t="str">
        <f>IFERROR(_xlfn.XLOOKUP(C604, Data!$A$2:$A$236, Data!$C$2:$C$236), "")</f>
        <v>Mr. Wadud Sir</v>
      </c>
    </row>
    <row r="605" spans="1:15" ht="42" customHeight="1" x14ac:dyDescent="0.35">
      <c r="A605" s="41">
        <f t="shared" si="2"/>
        <v>164</v>
      </c>
      <c r="B605" s="110" t="s">
        <v>1029</v>
      </c>
      <c r="C605" s="44" t="s">
        <v>22</v>
      </c>
      <c r="D605" s="45" t="s">
        <v>23</v>
      </c>
      <c r="E605" s="46" t="s">
        <v>1030</v>
      </c>
      <c r="F605" s="33">
        <v>46058</v>
      </c>
      <c r="G605" s="40">
        <v>46072</v>
      </c>
      <c r="H605" s="35">
        <v>11595</v>
      </c>
      <c r="I605" s="36"/>
      <c r="J605" s="35">
        <f>SUM(Table1[[#This Row],[LC Value]:[Amd Value]])</f>
        <v>11595</v>
      </c>
      <c r="K605" s="36">
        <v>3.05</v>
      </c>
      <c r="L605" s="37">
        <v>3300</v>
      </c>
      <c r="M605" s="47" t="s">
        <v>969</v>
      </c>
      <c r="N605" s="47" t="s">
        <v>968</v>
      </c>
      <c r="O605" s="48" t="str">
        <f>IFERROR(_xlfn.XLOOKUP(C605, Data!$A$2:$A$236, Data!$C$2:$C$236), "")</f>
        <v>Director Sir</v>
      </c>
    </row>
    <row r="606" spans="1:15" ht="42" customHeight="1" x14ac:dyDescent="0.35">
      <c r="A606" s="41">
        <f t="shared" si="2"/>
        <v>163</v>
      </c>
      <c r="B606" s="110" t="s">
        <v>1027</v>
      </c>
      <c r="C606" s="44" t="s">
        <v>199</v>
      </c>
      <c r="D606" s="45" t="s">
        <v>98</v>
      </c>
      <c r="E606" s="46" t="s">
        <v>1028</v>
      </c>
      <c r="F606" s="33">
        <v>46061</v>
      </c>
      <c r="G606" s="40">
        <v>46070</v>
      </c>
      <c r="H606" s="35">
        <f>4885+3017.5+6590+11965+4600+9085+7375+5965+5965+5315+14125+14125+9415</f>
        <v>102427.5</v>
      </c>
      <c r="I606" s="36"/>
      <c r="J606" s="35">
        <f>SUM(Table1[[#This Row],[LC Value]:[Amd Value]])</f>
        <v>102427.5</v>
      </c>
      <c r="K606" s="36">
        <v>3.4</v>
      </c>
      <c r="L606" s="37">
        <v>6100</v>
      </c>
      <c r="M606" s="47" t="s">
        <v>669</v>
      </c>
      <c r="N606" s="47" t="s">
        <v>457</v>
      </c>
      <c r="O606" s="48" t="str">
        <f>IFERROR(_xlfn.XLOOKUP(C606, Data!$A$2:$A$236, Data!$C$2:$C$236), "")</f>
        <v>MD. Sir</v>
      </c>
    </row>
    <row r="607" spans="1:15" ht="42" customHeight="1" x14ac:dyDescent="0.35">
      <c r="A607" s="41">
        <f t="shared" si="2"/>
        <v>162</v>
      </c>
      <c r="B607" s="110" t="s">
        <v>1025</v>
      </c>
      <c r="C607" s="44" t="s">
        <v>199</v>
      </c>
      <c r="D607" s="45" t="s">
        <v>32</v>
      </c>
      <c r="E607" s="46" t="s">
        <v>1026</v>
      </c>
      <c r="F607" s="33">
        <v>46061</v>
      </c>
      <c r="G607" s="40">
        <v>46070</v>
      </c>
      <c r="H607" s="35">
        <f>3635+4430+12610+20335+1677.5+3135+19797.5+20452.5+51600+17677.5+55252.5+43120+31250</f>
        <v>284972.5</v>
      </c>
      <c r="I607" s="36"/>
      <c r="J607" s="35">
        <f>SUM(Table1[[#This Row],[LC Value]:[Amd Value]])</f>
        <v>284972.5</v>
      </c>
      <c r="K607" s="36">
        <v>3.4</v>
      </c>
      <c r="L607" s="37">
        <v>6100</v>
      </c>
      <c r="M607" s="47" t="s">
        <v>669</v>
      </c>
      <c r="N607" s="47" t="s">
        <v>457</v>
      </c>
      <c r="O607" s="48" t="str">
        <f>IFERROR(_xlfn.XLOOKUP(C607, Data!$A$2:$A$236, Data!$C$2:$C$236), "")</f>
        <v>MD. Sir</v>
      </c>
    </row>
    <row r="608" spans="1:15" ht="42" customHeight="1" x14ac:dyDescent="0.35">
      <c r="A608" s="41">
        <f t="shared" si="2"/>
        <v>161</v>
      </c>
      <c r="B608" s="110" t="s">
        <v>1023</v>
      </c>
      <c r="C608" s="44" t="s">
        <v>199</v>
      </c>
      <c r="D608" s="45" t="s">
        <v>353</v>
      </c>
      <c r="E608" s="46" t="s">
        <v>1024</v>
      </c>
      <c r="F608" s="33">
        <v>46061</v>
      </c>
      <c r="G608" s="40">
        <v>46070</v>
      </c>
      <c r="H608" s="35">
        <v>21240</v>
      </c>
      <c r="I608" s="36"/>
      <c r="J608" s="35">
        <f>SUM(Table1[[#This Row],[LC Value]:[Amd Value]])</f>
        <v>21240</v>
      </c>
      <c r="K608" s="36">
        <v>3.4</v>
      </c>
      <c r="L608" s="37">
        <v>6100</v>
      </c>
      <c r="M608" s="47" t="s">
        <v>669</v>
      </c>
      <c r="N608" s="47" t="s">
        <v>457</v>
      </c>
      <c r="O608" s="48" t="str">
        <f>IFERROR(_xlfn.XLOOKUP(C608, Data!$A$2:$A$236, Data!$C$2:$C$236), "")</f>
        <v>MD. Sir</v>
      </c>
    </row>
    <row r="609" spans="1:15" ht="42" customHeight="1" x14ac:dyDescent="0.35">
      <c r="A609" s="41">
        <f t="shared" si="2"/>
        <v>160</v>
      </c>
      <c r="B609" s="110" t="s">
        <v>1019</v>
      </c>
      <c r="C609" s="44" t="s">
        <v>200</v>
      </c>
      <c r="D609" s="45" t="s">
        <v>98</v>
      </c>
      <c r="E609" s="46" t="s">
        <v>1020</v>
      </c>
      <c r="F609" s="33">
        <v>46061</v>
      </c>
      <c r="G609" s="40">
        <v>46070</v>
      </c>
      <c r="H609" s="35">
        <v>17447.5</v>
      </c>
      <c r="I609" s="36"/>
      <c r="J609" s="35">
        <f>SUM(Table1[[#This Row],[LC Value]:[Amd Value]])</f>
        <v>17447.5</v>
      </c>
      <c r="K609" s="36">
        <v>6</v>
      </c>
      <c r="L609" s="37">
        <v>2900</v>
      </c>
      <c r="M609" s="47" t="s">
        <v>669</v>
      </c>
      <c r="N609" s="47" t="s">
        <v>457</v>
      </c>
      <c r="O609" s="48" t="str">
        <f>IFERROR(_xlfn.XLOOKUP(C609, Data!$A$2:$A$236, Data!$C$2:$C$236), "")</f>
        <v>MD. Sir</v>
      </c>
    </row>
    <row r="610" spans="1:15" ht="42" customHeight="1" x14ac:dyDescent="0.35">
      <c r="A610" s="41">
        <f t="shared" si="2"/>
        <v>159</v>
      </c>
      <c r="B610" s="110" t="s">
        <v>1006</v>
      </c>
      <c r="C610" s="44" t="s">
        <v>200</v>
      </c>
      <c r="D610" s="45" t="s">
        <v>98</v>
      </c>
      <c r="E610" s="46" t="s">
        <v>1007</v>
      </c>
      <c r="F610" s="33">
        <v>46058</v>
      </c>
      <c r="G610" s="40">
        <v>46072</v>
      </c>
      <c r="H610" s="35">
        <v>8505</v>
      </c>
      <c r="I610" s="36"/>
      <c r="J610" s="35">
        <f>SUM(Table1[[#This Row],[LC Value]:[Amd Value]])</f>
        <v>8505</v>
      </c>
      <c r="K610" s="36">
        <v>3.6</v>
      </c>
      <c r="L610" s="37">
        <v>2800</v>
      </c>
      <c r="M610" s="47" t="s">
        <v>722</v>
      </c>
      <c r="N610" s="47" t="s">
        <v>783</v>
      </c>
      <c r="O610" s="48" t="str">
        <f>IFERROR(_xlfn.XLOOKUP(C610, Data!$A$2:$A$236, Data!$C$2:$C$236), "")</f>
        <v>MD. Sir</v>
      </c>
    </row>
    <row r="611" spans="1:15" ht="42" customHeight="1" x14ac:dyDescent="0.35">
      <c r="A611" s="41">
        <f t="shared" si="2"/>
        <v>158</v>
      </c>
      <c r="B611" s="110" t="s">
        <v>1004</v>
      </c>
      <c r="C611" s="44" t="s">
        <v>97</v>
      </c>
      <c r="D611" s="45" t="s">
        <v>792</v>
      </c>
      <c r="E611" s="46" t="s">
        <v>1005</v>
      </c>
      <c r="F611" s="33">
        <v>46058</v>
      </c>
      <c r="G611" s="40">
        <v>46070</v>
      </c>
      <c r="H611" s="35">
        <v>73517.5</v>
      </c>
      <c r="I611" s="36"/>
      <c r="J611" s="35">
        <f>SUM(Table1[[#This Row],[LC Value]:[Amd Value]])</f>
        <v>73517.5</v>
      </c>
      <c r="K611" s="36">
        <v>3.05</v>
      </c>
      <c r="L611" s="37">
        <v>23950</v>
      </c>
      <c r="M611" s="47" t="s">
        <v>449</v>
      </c>
      <c r="N611" s="47" t="s">
        <v>843</v>
      </c>
      <c r="O611" s="48" t="str">
        <f>IFERROR(_xlfn.XLOOKUP(C611, Data!$A$2:$A$236, Data!$C$2:$C$236), "")</f>
        <v>Mr. Reza Sir</v>
      </c>
    </row>
    <row r="612" spans="1:15" ht="42" customHeight="1" x14ac:dyDescent="0.35">
      <c r="A612" s="41">
        <f t="shared" si="2"/>
        <v>157</v>
      </c>
      <c r="B612" s="110" t="s">
        <v>1002</v>
      </c>
      <c r="C612" s="44" t="s">
        <v>112</v>
      </c>
      <c r="D612" s="45" t="s">
        <v>113</v>
      </c>
      <c r="E612" s="46" t="s">
        <v>1003</v>
      </c>
      <c r="F612" s="33">
        <v>46058</v>
      </c>
      <c r="G612" s="40">
        <v>46070</v>
      </c>
      <c r="H612" s="35">
        <v>152355</v>
      </c>
      <c r="I612" s="36">
        <v>-10954</v>
      </c>
      <c r="J612" s="35">
        <f>SUM(Table1[[#This Row],[LC Value]:[Amd Value]])</f>
        <v>141401</v>
      </c>
      <c r="K612" s="36">
        <v>3.35</v>
      </c>
      <c r="L612" s="37">
        <v>44100</v>
      </c>
      <c r="M612" s="47" t="s">
        <v>618</v>
      </c>
      <c r="N612" s="47" t="s">
        <v>955</v>
      </c>
      <c r="O612" s="48" t="str">
        <f>IFERROR(_xlfn.XLOOKUP(C612, Data!$A$2:$A$236, Data!$C$2:$C$236), "")</f>
        <v>Mr. Reza Sir</v>
      </c>
    </row>
    <row r="613" spans="1:15" ht="42" customHeight="1" x14ac:dyDescent="0.35">
      <c r="A613" s="41">
        <f t="shared" si="2"/>
        <v>156</v>
      </c>
      <c r="B613" s="110" t="s">
        <v>1000</v>
      </c>
      <c r="C613" s="44" t="s">
        <v>200</v>
      </c>
      <c r="D613" s="45" t="s">
        <v>98</v>
      </c>
      <c r="E613" s="46" t="s">
        <v>1001</v>
      </c>
      <c r="F613" s="33">
        <v>46058</v>
      </c>
      <c r="G613" s="40">
        <v>46070</v>
      </c>
      <c r="H613" s="35">
        <v>41480</v>
      </c>
      <c r="I613" s="36"/>
      <c r="J613" s="35">
        <f>SUM(Table1[[#This Row],[LC Value]:[Amd Value]])</f>
        <v>41480</v>
      </c>
      <c r="K613" s="36">
        <v>3.45</v>
      </c>
      <c r="L613" s="37">
        <v>12200</v>
      </c>
      <c r="M613" s="47" t="s">
        <v>417</v>
      </c>
      <c r="N613" s="47" t="s">
        <v>357</v>
      </c>
      <c r="O613" s="48" t="str">
        <f>IFERROR(_xlfn.XLOOKUP(C613, Data!$A$2:$A$236, Data!$C$2:$C$236), "")</f>
        <v>MD. Sir</v>
      </c>
    </row>
    <row r="614" spans="1:15" ht="42" customHeight="1" x14ac:dyDescent="0.35">
      <c r="A614" s="41">
        <f t="shared" si="2"/>
        <v>155</v>
      </c>
      <c r="B614" s="110" t="s">
        <v>994</v>
      </c>
      <c r="C614" s="44" t="s">
        <v>199</v>
      </c>
      <c r="D614" s="45" t="s">
        <v>98</v>
      </c>
      <c r="E614" s="46" t="s">
        <v>995</v>
      </c>
      <c r="F614" s="33">
        <v>46058</v>
      </c>
      <c r="G614" s="40">
        <v>46062</v>
      </c>
      <c r="H614" s="35">
        <v>73292.5</v>
      </c>
      <c r="I614" s="36"/>
      <c r="J614" s="35">
        <f>SUM(Table1[[#This Row],[LC Value]:[Amd Value]])</f>
        <v>73292.5</v>
      </c>
      <c r="K614" s="36">
        <v>3.45</v>
      </c>
      <c r="L614" s="37">
        <v>21400</v>
      </c>
      <c r="M614" s="47" t="s">
        <v>417</v>
      </c>
      <c r="N614" s="47" t="s">
        <v>783</v>
      </c>
      <c r="O614" s="48" t="str">
        <f>IFERROR(_xlfn.XLOOKUP(C614, Data!$A$2:$A$236, Data!$C$2:$C$236), "")</f>
        <v>MD. Sir</v>
      </c>
    </row>
    <row r="615" spans="1:15" ht="42" customHeight="1" x14ac:dyDescent="0.35">
      <c r="A615" s="41">
        <f t="shared" si="2"/>
        <v>154</v>
      </c>
      <c r="B615" s="110" t="s">
        <v>992</v>
      </c>
      <c r="C615" s="44" t="s">
        <v>201</v>
      </c>
      <c r="D615" s="45" t="s">
        <v>96</v>
      </c>
      <c r="E615" s="46" t="s">
        <v>993</v>
      </c>
      <c r="F615" s="33" t="s">
        <v>836</v>
      </c>
      <c r="G615" s="40">
        <v>46063</v>
      </c>
      <c r="H615" s="35">
        <v>6640</v>
      </c>
      <c r="I615" s="36"/>
      <c r="J615" s="35">
        <f>SUM(Table1[[#This Row],[LC Value]:[Amd Value]])</f>
        <v>6640</v>
      </c>
      <c r="K615" s="36">
        <v>3.32</v>
      </c>
      <c r="L615" s="37">
        <v>2000</v>
      </c>
      <c r="M615" s="47" t="s">
        <v>416</v>
      </c>
      <c r="N615" s="47" t="s">
        <v>449</v>
      </c>
      <c r="O615" s="48" t="str">
        <f>IFERROR(_xlfn.XLOOKUP(C615, Data!$A$2:$A$236, Data!$C$2:$C$236), "")</f>
        <v>Director Sir</v>
      </c>
    </row>
    <row r="616" spans="1:15" ht="42" customHeight="1" x14ac:dyDescent="0.35">
      <c r="A616" s="41">
        <f t="shared" si="2"/>
        <v>153</v>
      </c>
      <c r="B616" s="110" t="s">
        <v>990</v>
      </c>
      <c r="C616" s="44" t="s">
        <v>201</v>
      </c>
      <c r="D616" s="45" t="s">
        <v>96</v>
      </c>
      <c r="E616" s="46" t="s">
        <v>991</v>
      </c>
      <c r="F616" s="33" t="s">
        <v>836</v>
      </c>
      <c r="G616" s="40">
        <v>46063</v>
      </c>
      <c r="H616" s="35">
        <v>23240</v>
      </c>
      <c r="I616" s="36"/>
      <c r="J616" s="35">
        <f>SUM(Table1[[#This Row],[LC Value]:[Amd Value]])</f>
        <v>23240</v>
      </c>
      <c r="K616" s="36">
        <v>3.32</v>
      </c>
      <c r="L616" s="37">
        <v>7000</v>
      </c>
      <c r="M616" s="47" t="s">
        <v>416</v>
      </c>
      <c r="N616" s="47" t="s">
        <v>449</v>
      </c>
      <c r="O616" s="48" t="str">
        <f>IFERROR(_xlfn.XLOOKUP(C616, Data!$A$2:$A$236, Data!$C$2:$C$236), "")</f>
        <v>Director Sir</v>
      </c>
    </row>
    <row r="617" spans="1:15" ht="42" customHeight="1" x14ac:dyDescent="0.35">
      <c r="A617" s="41">
        <f t="shared" si="2"/>
        <v>152</v>
      </c>
      <c r="B617" s="110" t="s">
        <v>988</v>
      </c>
      <c r="C617" s="44" t="s">
        <v>201</v>
      </c>
      <c r="D617" s="45" t="s">
        <v>96</v>
      </c>
      <c r="E617" s="46" t="s">
        <v>989</v>
      </c>
      <c r="F617" s="33" t="s">
        <v>836</v>
      </c>
      <c r="G617" s="40">
        <v>46063</v>
      </c>
      <c r="H617" s="35">
        <v>26560</v>
      </c>
      <c r="I617" s="36"/>
      <c r="J617" s="35">
        <f>SUM(Table1[[#This Row],[LC Value]:[Amd Value]])</f>
        <v>26560</v>
      </c>
      <c r="K617" s="36">
        <v>3.32</v>
      </c>
      <c r="L617" s="37">
        <v>8000</v>
      </c>
      <c r="M617" s="47" t="s">
        <v>416</v>
      </c>
      <c r="N617" s="47" t="s">
        <v>449</v>
      </c>
      <c r="O617" s="48" t="str">
        <f>IFERROR(_xlfn.XLOOKUP(C617, Data!$A$2:$A$236, Data!$C$2:$C$236), "")</f>
        <v>Director Sir</v>
      </c>
    </row>
    <row r="618" spans="1:15" ht="42" customHeight="1" x14ac:dyDescent="0.35">
      <c r="A618" s="41">
        <f t="shared" si="2"/>
        <v>151</v>
      </c>
      <c r="B618" s="110" t="s">
        <v>986</v>
      </c>
      <c r="C618" s="44" t="s">
        <v>195</v>
      </c>
      <c r="D618" s="45" t="s">
        <v>21</v>
      </c>
      <c r="E618" s="46" t="s">
        <v>987</v>
      </c>
      <c r="F618" s="33" t="s">
        <v>836</v>
      </c>
      <c r="G618" s="40">
        <v>46061</v>
      </c>
      <c r="H618" s="35">
        <f>31110+21350</f>
        <v>52460</v>
      </c>
      <c r="I618" s="53" t="s">
        <v>1574</v>
      </c>
      <c r="J618" s="35">
        <f>52460+15250+22500</f>
        <v>90210</v>
      </c>
      <c r="K618" s="36">
        <v>3.6</v>
      </c>
      <c r="L618" s="37">
        <v>17200</v>
      </c>
      <c r="M618" s="47" t="s">
        <v>416</v>
      </c>
      <c r="N618" s="47" t="s">
        <v>449</v>
      </c>
      <c r="O618" s="48" t="str">
        <f>IFERROR(_xlfn.XLOOKUP(C618, Data!$A$2:$A$236, Data!$C$2:$C$236), "")</f>
        <v>Mr. Lipu Sir</v>
      </c>
    </row>
    <row r="619" spans="1:15" ht="42" customHeight="1" x14ac:dyDescent="0.35">
      <c r="A619" s="41">
        <f t="shared" si="2"/>
        <v>150</v>
      </c>
      <c r="B619" s="110" t="s">
        <v>982</v>
      </c>
      <c r="C619" s="44" t="s">
        <v>200</v>
      </c>
      <c r="D619" s="45" t="s">
        <v>79</v>
      </c>
      <c r="E619" s="46" t="s">
        <v>983</v>
      </c>
      <c r="F619" s="33" t="s">
        <v>836</v>
      </c>
      <c r="G619" s="40">
        <v>46062</v>
      </c>
      <c r="H619" s="35">
        <v>11250</v>
      </c>
      <c r="I619" s="36"/>
      <c r="J619" s="35">
        <f>SUM(Table1[[#This Row],[LC Value]:[Amd Value]])</f>
        <v>11250</v>
      </c>
      <c r="K619" s="36">
        <v>3.6</v>
      </c>
      <c r="L619" s="37">
        <v>3700</v>
      </c>
      <c r="M619" s="47" t="s">
        <v>417</v>
      </c>
      <c r="N619" s="47" t="s">
        <v>783</v>
      </c>
      <c r="O619" s="48" t="str">
        <f>IFERROR(_xlfn.XLOOKUP(C619, Data!$A$2:$A$236, Data!$C$2:$C$236), "")</f>
        <v>MD. Sir</v>
      </c>
    </row>
    <row r="620" spans="1:15" ht="42" customHeight="1" x14ac:dyDescent="0.35">
      <c r="A620" s="41">
        <f t="shared" si="2"/>
        <v>149</v>
      </c>
      <c r="B620" s="110" t="s">
        <v>980</v>
      </c>
      <c r="C620" s="44" t="s">
        <v>200</v>
      </c>
      <c r="D620" s="45" t="s">
        <v>98</v>
      </c>
      <c r="E620" s="46" t="s">
        <v>981</v>
      </c>
      <c r="F620" s="33" t="s">
        <v>836</v>
      </c>
      <c r="G620" s="40">
        <v>46062</v>
      </c>
      <c r="H620" s="35">
        <v>13770</v>
      </c>
      <c r="I620" s="36"/>
      <c r="J620" s="35">
        <f>SUM(Table1[[#This Row],[LC Value]:[Amd Value]])</f>
        <v>13770</v>
      </c>
      <c r="K620" s="36">
        <v>2.7</v>
      </c>
      <c r="L620" s="37">
        <v>4400</v>
      </c>
      <c r="M620" s="47" t="s">
        <v>417</v>
      </c>
      <c r="N620" s="47" t="s">
        <v>783</v>
      </c>
      <c r="O620" s="48" t="str">
        <f>IFERROR(_xlfn.XLOOKUP(C620, Data!$A$2:$A$236, Data!$C$2:$C$236), "")</f>
        <v>MD. Sir</v>
      </c>
    </row>
    <row r="621" spans="1:15" ht="42" customHeight="1" x14ac:dyDescent="0.35">
      <c r="A621" s="41">
        <f t="shared" si="2"/>
        <v>148</v>
      </c>
      <c r="B621" s="110" t="s">
        <v>978</v>
      </c>
      <c r="C621" s="44" t="s">
        <v>199</v>
      </c>
      <c r="D621" s="45" t="s">
        <v>32</v>
      </c>
      <c r="E621" s="46" t="s">
        <v>979</v>
      </c>
      <c r="F621" s="33" t="s">
        <v>836</v>
      </c>
      <c r="G621" s="40">
        <v>46061</v>
      </c>
      <c r="H621" s="35">
        <v>25740</v>
      </c>
      <c r="I621" s="36"/>
      <c r="J621" s="35">
        <f>SUM(Table1[[#This Row],[LC Value]:[Amd Value]])</f>
        <v>25740</v>
      </c>
      <c r="K621" s="36">
        <v>3.6</v>
      </c>
      <c r="L621" s="37">
        <v>7150</v>
      </c>
      <c r="M621" s="47" t="s">
        <v>417</v>
      </c>
      <c r="N621" s="47" t="s">
        <v>783</v>
      </c>
      <c r="O621" s="48" t="str">
        <f>IFERROR(_xlfn.XLOOKUP(C621, Data!$A$2:$A$236, Data!$C$2:$C$236), "")</f>
        <v>MD. Sir</v>
      </c>
    </row>
    <row r="622" spans="1:15" ht="42" customHeight="1" x14ac:dyDescent="0.35">
      <c r="A622" s="41">
        <f t="shared" si="2"/>
        <v>147</v>
      </c>
      <c r="B622" s="110" t="s">
        <v>976</v>
      </c>
      <c r="C622" s="44" t="s">
        <v>199</v>
      </c>
      <c r="D622" s="45" t="s">
        <v>32</v>
      </c>
      <c r="E622" s="46" t="s">
        <v>977</v>
      </c>
      <c r="F622" s="33" t="s">
        <v>836</v>
      </c>
      <c r="G622" s="40">
        <v>46061</v>
      </c>
      <c r="H622" s="35">
        <f>3780+4182.5</f>
        <v>7962.5</v>
      </c>
      <c r="I622" s="36"/>
      <c r="J622" s="35">
        <f>SUM(Table1[[#This Row],[LC Value]:[Amd Value]])</f>
        <v>7962.5</v>
      </c>
      <c r="K622" s="36">
        <v>2.8</v>
      </c>
      <c r="L622" s="37">
        <v>23650</v>
      </c>
      <c r="M622" s="47" t="s">
        <v>417</v>
      </c>
      <c r="N622" s="47" t="s">
        <v>783</v>
      </c>
      <c r="O622" s="48" t="str">
        <f>IFERROR(_xlfn.XLOOKUP(C622, Data!$A$2:$A$236, Data!$C$2:$C$236), "")</f>
        <v>MD. Sir</v>
      </c>
    </row>
    <row r="623" spans="1:15" ht="42" customHeight="1" x14ac:dyDescent="0.35">
      <c r="A623" s="41">
        <f t="shared" si="2"/>
        <v>146</v>
      </c>
      <c r="B623" s="110" t="s">
        <v>974</v>
      </c>
      <c r="C623" s="44" t="s">
        <v>199</v>
      </c>
      <c r="D623" s="45" t="s">
        <v>32</v>
      </c>
      <c r="E623" s="46" t="s">
        <v>975</v>
      </c>
      <c r="F623" s="33" t="s">
        <v>836</v>
      </c>
      <c r="G623" s="40">
        <v>46061</v>
      </c>
      <c r="H623" s="35">
        <v>67405</v>
      </c>
      <c r="I623" s="36"/>
      <c r="J623" s="35">
        <f>SUM(Table1[[#This Row],[LC Value]:[Amd Value]])</f>
        <v>67405</v>
      </c>
      <c r="K623" s="36">
        <v>2.9</v>
      </c>
      <c r="L623" s="37">
        <v>23650</v>
      </c>
      <c r="M623" s="47" t="s">
        <v>417</v>
      </c>
      <c r="N623" s="47" t="s">
        <v>783</v>
      </c>
      <c r="O623" s="48" t="str">
        <f>IFERROR(_xlfn.XLOOKUP(C623, Data!$A$2:$A$236, Data!$C$2:$C$236), "")</f>
        <v>MD. Sir</v>
      </c>
    </row>
    <row r="624" spans="1:15" ht="42" customHeight="1" x14ac:dyDescent="0.35">
      <c r="A624" s="41">
        <f t="shared" si="2"/>
        <v>145</v>
      </c>
      <c r="B624" s="110" t="s">
        <v>972</v>
      </c>
      <c r="C624" s="44" t="s">
        <v>199</v>
      </c>
      <c r="D624" s="45" t="s">
        <v>32</v>
      </c>
      <c r="E624" s="46" t="s">
        <v>973</v>
      </c>
      <c r="F624" s="33" t="s">
        <v>836</v>
      </c>
      <c r="G624" s="40">
        <v>46061</v>
      </c>
      <c r="H624" s="35">
        <v>126795</v>
      </c>
      <c r="I624" s="36"/>
      <c r="J624" s="35">
        <f>SUM(Table1[[#This Row],[LC Value]:[Amd Value]])</f>
        <v>126795</v>
      </c>
      <c r="K624" s="36">
        <v>3.4</v>
      </c>
      <c r="L624" s="37">
        <v>35550</v>
      </c>
      <c r="M624" s="47" t="s">
        <v>417</v>
      </c>
      <c r="N624" s="47" t="s">
        <v>783</v>
      </c>
      <c r="O624" s="48" t="str">
        <f>IFERROR(_xlfn.XLOOKUP(C624, Data!$A$2:$A$236, Data!$C$2:$C$236), "")</f>
        <v>MD. Sir</v>
      </c>
    </row>
    <row r="625" spans="1:15" ht="42" customHeight="1" x14ac:dyDescent="0.35">
      <c r="A625" s="41">
        <f t="shared" si="2"/>
        <v>144</v>
      </c>
      <c r="B625" s="110" t="s">
        <v>964</v>
      </c>
      <c r="C625" s="44" t="s">
        <v>184</v>
      </c>
      <c r="D625" s="45" t="s">
        <v>18</v>
      </c>
      <c r="E625" s="46" t="s">
        <v>965</v>
      </c>
      <c r="F625" s="33" t="s">
        <v>961</v>
      </c>
      <c r="G625" s="40">
        <v>46058</v>
      </c>
      <c r="H625" s="35">
        <v>5945</v>
      </c>
      <c r="I625" s="36"/>
      <c r="J625" s="35">
        <f>SUM(Table1[[#This Row],[LC Value]:[Amd Value]])</f>
        <v>5945</v>
      </c>
      <c r="K625" s="36">
        <v>2.9</v>
      </c>
      <c r="L625" s="37">
        <v>2050</v>
      </c>
      <c r="M625" s="47" t="s">
        <v>344</v>
      </c>
      <c r="N625" s="47" t="s">
        <v>361</v>
      </c>
      <c r="O625" s="48" t="str">
        <f>IFERROR(_xlfn.XLOOKUP(C625, Data!$A$2:$A$236, Data!$C$2:$C$236), "")</f>
        <v>Mr. Amran Sir</v>
      </c>
    </row>
    <row r="626" spans="1:15" ht="42" customHeight="1" x14ac:dyDescent="0.35">
      <c r="A626" s="41">
        <f t="shared" si="2"/>
        <v>143</v>
      </c>
      <c r="B626" s="110" t="s">
        <v>962</v>
      </c>
      <c r="C626" s="44" t="s">
        <v>201</v>
      </c>
      <c r="D626" s="45" t="s">
        <v>95</v>
      </c>
      <c r="E626" s="46" t="s">
        <v>963</v>
      </c>
      <c r="F626" s="33" t="s">
        <v>961</v>
      </c>
      <c r="G626" s="40">
        <v>46061</v>
      </c>
      <c r="H626" s="35">
        <v>166000</v>
      </c>
      <c r="I626" s="36"/>
      <c r="J626" s="35">
        <f>SUM(Table1[[#This Row],[LC Value]:[Amd Value]])</f>
        <v>166000</v>
      </c>
      <c r="K626" s="36">
        <v>3.32</v>
      </c>
      <c r="L626" s="37">
        <v>50000</v>
      </c>
      <c r="M626" s="47" t="s">
        <v>452</v>
      </c>
      <c r="N626" s="47" t="s">
        <v>676</v>
      </c>
      <c r="O626" s="48" t="str">
        <f>IFERROR(_xlfn.XLOOKUP(C626, Data!$A$2:$A$236, Data!$C$2:$C$236), "")</f>
        <v>Director Sir</v>
      </c>
    </row>
    <row r="627" spans="1:15" ht="42" customHeight="1" x14ac:dyDescent="0.35">
      <c r="A627" s="41">
        <f t="shared" si="2"/>
        <v>142</v>
      </c>
      <c r="B627" s="110" t="s">
        <v>957</v>
      </c>
      <c r="C627" s="49" t="s">
        <v>238</v>
      </c>
      <c r="D627" s="45" t="s">
        <v>194</v>
      </c>
      <c r="E627" s="46" t="s">
        <v>958</v>
      </c>
      <c r="F627" s="33" t="s">
        <v>919</v>
      </c>
      <c r="G627" s="34">
        <v>46055</v>
      </c>
      <c r="H627" s="35">
        <v>30390</v>
      </c>
      <c r="I627" s="36"/>
      <c r="J627" s="35">
        <f>SUM(Table1[[#This Row],[LC Value]:[Amd Value]])</f>
        <v>30390</v>
      </c>
      <c r="K627" s="36">
        <v>3.65</v>
      </c>
      <c r="L627" s="37">
        <v>8400</v>
      </c>
      <c r="M627" s="47" t="s">
        <v>956</v>
      </c>
      <c r="N627" s="47" t="s">
        <v>955</v>
      </c>
      <c r="O627" s="48" t="str">
        <f>IFERROR(_xlfn.XLOOKUP(C627, Data!$A$2:$A$236, Data!$C$2:$C$236), "")</f>
        <v>Mr. Reza Sir</v>
      </c>
    </row>
    <row r="628" spans="1:15" ht="42" customHeight="1" x14ac:dyDescent="0.35">
      <c r="A628" s="41">
        <f t="shared" si="2"/>
        <v>141</v>
      </c>
      <c r="B628" s="110" t="s">
        <v>952</v>
      </c>
      <c r="C628" s="44" t="s">
        <v>77</v>
      </c>
      <c r="D628" s="45" t="s">
        <v>208</v>
      </c>
      <c r="E628" s="46" t="s">
        <v>953</v>
      </c>
      <c r="F628" s="33" t="s">
        <v>954</v>
      </c>
      <c r="G628" s="40">
        <v>46056</v>
      </c>
      <c r="H628" s="35">
        <v>7600</v>
      </c>
      <c r="I628" s="36"/>
      <c r="J628" s="35">
        <f>SUM(Table1[[#This Row],[LC Value]:[Amd Value]])</f>
        <v>7600</v>
      </c>
      <c r="K628" s="36">
        <v>3.8</v>
      </c>
      <c r="L628" s="37">
        <v>2000</v>
      </c>
      <c r="M628" s="47" t="s">
        <v>956</v>
      </c>
      <c r="N628" s="47" t="s">
        <v>955</v>
      </c>
      <c r="O628" s="48" t="str">
        <f>IFERROR(_xlfn.XLOOKUP(C628, Data!$A$2:$A$236, Data!$C$2:$C$236), "")</f>
        <v>Mr. Lipu Sir</v>
      </c>
    </row>
    <row r="629" spans="1:15" ht="42" customHeight="1" x14ac:dyDescent="0.35">
      <c r="A629" s="41">
        <f t="shared" si="2"/>
        <v>140</v>
      </c>
      <c r="B629" s="110" t="s">
        <v>949</v>
      </c>
      <c r="C629" s="44" t="s">
        <v>77</v>
      </c>
      <c r="D629" s="45" t="s">
        <v>91</v>
      </c>
      <c r="E629" s="46" t="s">
        <v>950</v>
      </c>
      <c r="F629" s="33">
        <v>46054</v>
      </c>
      <c r="G629" s="40">
        <v>46058</v>
      </c>
      <c r="H629" s="35">
        <v>67100</v>
      </c>
      <c r="I629" s="36"/>
      <c r="J629" s="35">
        <f>SUM(Table1[[#This Row],[LC Value]:[Amd Value]])</f>
        <v>67100</v>
      </c>
      <c r="K629" s="36">
        <v>3.05</v>
      </c>
      <c r="L629" s="37">
        <v>22000</v>
      </c>
      <c r="M629" s="47" t="s">
        <v>452</v>
      </c>
      <c r="N629" s="47" t="s">
        <v>951</v>
      </c>
      <c r="O629" s="48" t="str">
        <f>IFERROR(_xlfn.XLOOKUP(C629, Data!$A$2:$A$236, Data!$C$2:$C$236), "")</f>
        <v>Mr. Lipu Sir</v>
      </c>
    </row>
    <row r="630" spans="1:15" ht="42" customHeight="1" x14ac:dyDescent="0.35">
      <c r="A630" s="41">
        <f t="shared" si="2"/>
        <v>139</v>
      </c>
      <c r="B630" s="110" t="s">
        <v>948</v>
      </c>
      <c r="C630" s="44" t="s">
        <v>228</v>
      </c>
      <c r="D630" s="45" t="s">
        <v>229</v>
      </c>
      <c r="E630" s="46" t="s">
        <v>947</v>
      </c>
      <c r="F630" s="33">
        <v>46054</v>
      </c>
      <c r="G630" s="40">
        <v>46061</v>
      </c>
      <c r="H630" s="35">
        <v>155000</v>
      </c>
      <c r="I630" s="36"/>
      <c r="J630" s="35">
        <f>SUM(Table1[[#This Row],[LC Value]:[Amd Value]])</f>
        <v>155000</v>
      </c>
      <c r="K630" s="36">
        <v>3.1</v>
      </c>
      <c r="L630" s="37">
        <v>50000</v>
      </c>
      <c r="M630" s="47" t="s">
        <v>452</v>
      </c>
      <c r="N630" s="47" t="s">
        <v>676</v>
      </c>
      <c r="O630" s="48" t="s">
        <v>2268</v>
      </c>
    </row>
    <row r="631" spans="1:15" ht="42" customHeight="1" x14ac:dyDescent="0.35">
      <c r="A631" s="59">
        <f t="shared" si="2"/>
        <v>138</v>
      </c>
      <c r="B631" s="110" t="s">
        <v>945</v>
      </c>
      <c r="C631" s="44" t="s">
        <v>199</v>
      </c>
      <c r="D631" s="45" t="s">
        <v>32</v>
      </c>
      <c r="E631" s="46" t="s">
        <v>946</v>
      </c>
      <c r="F631" s="33">
        <v>46054</v>
      </c>
      <c r="G631" s="40">
        <v>46056</v>
      </c>
      <c r="H631" s="35">
        <v>6785</v>
      </c>
      <c r="I631" s="36"/>
      <c r="J631" s="35">
        <f>SUM(Table1[[#This Row],[LC Value]:[Amd Value]])</f>
        <v>6785</v>
      </c>
      <c r="K631" s="36">
        <v>2.4</v>
      </c>
      <c r="L631" s="37">
        <v>2900</v>
      </c>
      <c r="M631" s="47" t="s">
        <v>452</v>
      </c>
      <c r="N631" s="47" t="s">
        <v>676</v>
      </c>
      <c r="O631" s="48" t="str">
        <f>IFERROR(_xlfn.XLOOKUP(C631, Data!$A$2:$A$236, Data!$C$2:$C$236), "")</f>
        <v>MD. Sir</v>
      </c>
    </row>
    <row r="632" spans="1:15" ht="42" customHeight="1" x14ac:dyDescent="0.35">
      <c r="A632" s="59">
        <f t="shared" si="2"/>
        <v>137</v>
      </c>
      <c r="B632" s="110" t="s">
        <v>943</v>
      </c>
      <c r="C632" s="44" t="s">
        <v>199</v>
      </c>
      <c r="D632" s="45" t="s">
        <v>32</v>
      </c>
      <c r="E632" s="46" t="s">
        <v>944</v>
      </c>
      <c r="F632" s="33">
        <v>46054</v>
      </c>
      <c r="G632" s="40">
        <v>46056</v>
      </c>
      <c r="H632" s="35">
        <v>7280</v>
      </c>
      <c r="I632" s="36"/>
      <c r="J632" s="35">
        <f>SUM(Table1[[#This Row],[LC Value]:[Amd Value]])</f>
        <v>7280</v>
      </c>
      <c r="K632" s="36">
        <v>3.2</v>
      </c>
      <c r="L632" s="37">
        <v>2400</v>
      </c>
      <c r="M632" s="47" t="s">
        <v>452</v>
      </c>
      <c r="N632" s="47" t="s">
        <v>676</v>
      </c>
      <c r="O632" s="48" t="str">
        <f>IFERROR(_xlfn.XLOOKUP(C632, Data!$A$2:$A$236, Data!$C$2:$C$236), "")</f>
        <v>MD. Sir</v>
      </c>
    </row>
    <row r="633" spans="1:15" ht="42" customHeight="1" x14ac:dyDescent="0.35">
      <c r="A633" s="59">
        <f t="shared" si="2"/>
        <v>136</v>
      </c>
      <c r="B633" s="110" t="s">
        <v>941</v>
      </c>
      <c r="C633" s="44" t="s">
        <v>199</v>
      </c>
      <c r="D633" s="45" t="s">
        <v>98</v>
      </c>
      <c r="E633" s="46" t="s">
        <v>942</v>
      </c>
      <c r="F633" s="33">
        <v>46054</v>
      </c>
      <c r="G633" s="40">
        <v>46056</v>
      </c>
      <c r="H633" s="35">
        <v>21500</v>
      </c>
      <c r="I633" s="36"/>
      <c r="J633" s="35">
        <f>SUM(Table1[[#This Row],[LC Value]:[Amd Value]])</f>
        <v>21500</v>
      </c>
      <c r="K633" s="36">
        <v>3.4</v>
      </c>
      <c r="L633" s="37">
        <v>6700</v>
      </c>
      <c r="M633" s="47" t="s">
        <v>452</v>
      </c>
      <c r="N633" s="47" t="s">
        <v>676</v>
      </c>
      <c r="O633" s="48" t="str">
        <f>IFERROR(_xlfn.XLOOKUP(C633, Data!$A$2:$A$236, Data!$C$2:$C$236), "")</f>
        <v>MD. Sir</v>
      </c>
    </row>
    <row r="634" spans="1:15" ht="42" customHeight="1" x14ac:dyDescent="0.35">
      <c r="A634" s="59">
        <f t="shared" si="2"/>
        <v>135</v>
      </c>
      <c r="B634" s="110" t="s">
        <v>939</v>
      </c>
      <c r="C634" s="44" t="s">
        <v>199</v>
      </c>
      <c r="D634" s="45" t="s">
        <v>98</v>
      </c>
      <c r="E634" s="46" t="s">
        <v>940</v>
      </c>
      <c r="F634" s="33">
        <v>46054</v>
      </c>
      <c r="G634" s="40">
        <v>46056</v>
      </c>
      <c r="H634" s="35">
        <f>86130+8980+13515+2425+2587.5+30600+3967.5+11930+19880+4200</f>
        <v>184215</v>
      </c>
      <c r="I634" s="36"/>
      <c r="J634" s="35">
        <f>SUM(Table1[[#This Row],[LC Value]:[Amd Value]])</f>
        <v>184215</v>
      </c>
      <c r="K634" s="36">
        <v>2.9</v>
      </c>
      <c r="L634" s="37">
        <v>6650</v>
      </c>
      <c r="M634" s="47" t="s">
        <v>618</v>
      </c>
      <c r="N634" s="47" t="s">
        <v>931</v>
      </c>
      <c r="O634" s="48" t="str">
        <f>IFERROR(_xlfn.XLOOKUP(C634, Data!$A$2:$A$236, Data!$C$2:$C$236), "")</f>
        <v>MD. Sir</v>
      </c>
    </row>
    <row r="635" spans="1:15" ht="42" customHeight="1" x14ac:dyDescent="0.35">
      <c r="A635" s="59">
        <f t="shared" si="2"/>
        <v>134</v>
      </c>
      <c r="B635" s="110" t="s">
        <v>932</v>
      </c>
      <c r="C635" s="44" t="s">
        <v>68</v>
      </c>
      <c r="D635" s="45" t="s">
        <v>414</v>
      </c>
      <c r="E635" s="46" t="s">
        <v>933</v>
      </c>
      <c r="F635" s="33" t="s">
        <v>856</v>
      </c>
      <c r="G635" s="40">
        <v>46054</v>
      </c>
      <c r="H635" s="35">
        <v>21000</v>
      </c>
      <c r="I635" s="36"/>
      <c r="J635" s="35">
        <f>SUM(Table1[[#This Row],[LC Value]:[Amd Value]])</f>
        <v>21000</v>
      </c>
      <c r="K635" s="36">
        <v>3.05</v>
      </c>
      <c r="L635" s="37">
        <v>6650</v>
      </c>
      <c r="M635" s="47" t="s">
        <v>618</v>
      </c>
      <c r="N635" s="47" t="s">
        <v>931</v>
      </c>
      <c r="O635" s="48" t="str">
        <f>IFERROR(_xlfn.XLOOKUP(C635, Data!$A$2:$A$236, Data!$C$2:$C$236), "")</f>
        <v>Director Sir</v>
      </c>
    </row>
    <row r="636" spans="1:15" ht="42" customHeight="1" x14ac:dyDescent="0.35">
      <c r="A636" s="59">
        <f t="shared" si="2"/>
        <v>133</v>
      </c>
      <c r="B636" s="110" t="s">
        <v>929</v>
      </c>
      <c r="C636" s="44" t="s">
        <v>112</v>
      </c>
      <c r="D636" s="45" t="s">
        <v>113</v>
      </c>
      <c r="E636" s="46" t="s">
        <v>930</v>
      </c>
      <c r="F636" s="33">
        <v>46051</v>
      </c>
      <c r="G636" s="40">
        <v>46056</v>
      </c>
      <c r="H636" s="35">
        <v>21000</v>
      </c>
      <c r="I636" s="36"/>
      <c r="J636" s="35">
        <f>SUM(Table1[[#This Row],[LC Value]:[Amd Value]])</f>
        <v>21000</v>
      </c>
      <c r="K636" s="36">
        <v>3.05</v>
      </c>
      <c r="L636" s="37">
        <v>6650</v>
      </c>
      <c r="M636" s="47" t="s">
        <v>618</v>
      </c>
      <c r="N636" s="47" t="s">
        <v>931</v>
      </c>
      <c r="O636" s="48" t="str">
        <f>IFERROR(_xlfn.XLOOKUP(C636, Data!$A$2:$A$236, Data!$C$2:$C$236), "")</f>
        <v>Mr. Reza Sir</v>
      </c>
    </row>
    <row r="637" spans="1:15" ht="42" customHeight="1" x14ac:dyDescent="0.35">
      <c r="A637" s="59">
        <f t="shared" si="2"/>
        <v>132</v>
      </c>
      <c r="B637" s="110" t="s">
        <v>926</v>
      </c>
      <c r="C637" s="54" t="s">
        <v>927</v>
      </c>
      <c r="D637" s="45" t="s">
        <v>95</v>
      </c>
      <c r="E637" s="46" t="s">
        <v>928</v>
      </c>
      <c r="F637" s="33">
        <v>46051</v>
      </c>
      <c r="G637" s="33">
        <v>46053</v>
      </c>
      <c r="H637" s="35">
        <v>3425</v>
      </c>
      <c r="I637" s="36"/>
      <c r="J637" s="35">
        <f>SUM(Table1[[#This Row],[LC Value]:[Amd Value]])</f>
        <v>3425</v>
      </c>
      <c r="K637" s="36">
        <v>9.5</v>
      </c>
      <c r="L637" s="37">
        <v>300</v>
      </c>
      <c r="M637" s="47" t="s">
        <v>581</v>
      </c>
      <c r="N637" s="47" t="s">
        <v>614</v>
      </c>
      <c r="O637" s="48" t="str">
        <f>IFERROR(_xlfn.XLOOKUP(C637, Data!$A$2:$A$236, Data!$C$2:$C$236), "")</f>
        <v>Mr. Lipu Sir</v>
      </c>
    </row>
    <row r="638" spans="1:15" ht="42" customHeight="1" x14ac:dyDescent="0.35">
      <c r="A638" s="59">
        <f t="shared" si="2"/>
        <v>131</v>
      </c>
      <c r="B638" s="110" t="s">
        <v>924</v>
      </c>
      <c r="C638" s="44" t="s">
        <v>200</v>
      </c>
      <c r="D638" s="45" t="s">
        <v>135</v>
      </c>
      <c r="E638" s="46" t="s">
        <v>925</v>
      </c>
      <c r="F638" s="33">
        <v>46051</v>
      </c>
      <c r="G638" s="40">
        <v>46056</v>
      </c>
      <c r="H638" s="35">
        <v>8280</v>
      </c>
      <c r="I638" s="36"/>
      <c r="J638" s="35">
        <f>SUM(Table1[[#This Row],[LC Value]:[Amd Value]])</f>
        <v>8280</v>
      </c>
      <c r="K638" s="36">
        <v>3.6</v>
      </c>
      <c r="L638" s="37">
        <v>2300</v>
      </c>
      <c r="M638" s="47" t="s">
        <v>581</v>
      </c>
      <c r="N638" s="47" t="s">
        <v>614</v>
      </c>
      <c r="O638" s="48" t="str">
        <f>IFERROR(_xlfn.XLOOKUP(C638, Data!$A$2:$A$236, Data!$C$2:$C$236), "")</f>
        <v>MD. Sir</v>
      </c>
    </row>
    <row r="639" spans="1:15" ht="42" customHeight="1" x14ac:dyDescent="0.35">
      <c r="A639" s="59">
        <f t="shared" si="2"/>
        <v>130</v>
      </c>
      <c r="B639" s="110" t="s">
        <v>922</v>
      </c>
      <c r="C639" s="44" t="s">
        <v>199</v>
      </c>
      <c r="D639" s="45" t="s">
        <v>32</v>
      </c>
      <c r="E639" s="46" t="s">
        <v>923</v>
      </c>
      <c r="F639" s="33">
        <v>46051</v>
      </c>
      <c r="G639" s="40">
        <v>46056</v>
      </c>
      <c r="H639" s="35">
        <v>298440</v>
      </c>
      <c r="I639" s="36"/>
      <c r="J639" s="35">
        <f>SUM(Table1[[#This Row],[LC Value]:[Amd Value]])</f>
        <v>298440</v>
      </c>
      <c r="K639" s="36">
        <v>2.4</v>
      </c>
      <c r="L639" s="37">
        <v>180100</v>
      </c>
      <c r="M639" s="47" t="s">
        <v>718</v>
      </c>
      <c r="N639" s="47" t="s">
        <v>782</v>
      </c>
      <c r="O639" s="48" t="str">
        <f>IFERROR(_xlfn.XLOOKUP(C639, Data!$A$2:$A$236, Data!$C$2:$C$236), "")</f>
        <v>MD. Sir</v>
      </c>
    </row>
    <row r="640" spans="1:15" ht="42" customHeight="1" x14ac:dyDescent="0.35">
      <c r="A640" s="59">
        <f t="shared" si="2"/>
        <v>129</v>
      </c>
      <c r="B640" s="110" t="s">
        <v>920</v>
      </c>
      <c r="C640" s="44" t="s">
        <v>199</v>
      </c>
      <c r="D640" s="45" t="s">
        <v>353</v>
      </c>
      <c r="E640" s="46" t="s">
        <v>921</v>
      </c>
      <c r="F640" s="33">
        <v>46051</v>
      </c>
      <c r="G640" s="40">
        <v>46056</v>
      </c>
      <c r="H640" s="35">
        <v>5015</v>
      </c>
      <c r="I640" s="36"/>
      <c r="J640" s="35">
        <f>SUM(Table1[[#This Row],[LC Value]:[Amd Value]])</f>
        <v>5015</v>
      </c>
      <c r="K640" s="36">
        <v>3</v>
      </c>
      <c r="L640" s="37">
        <v>1700</v>
      </c>
      <c r="M640" s="47" t="s">
        <v>609</v>
      </c>
      <c r="N640" s="47" t="s">
        <v>714</v>
      </c>
      <c r="O640" s="48" t="str">
        <f>IFERROR(_xlfn.XLOOKUP(C640, Data!$A$2:$A$236, Data!$C$2:$C$236), "")</f>
        <v>MD. Sir</v>
      </c>
    </row>
    <row r="641" spans="1:15" ht="42" customHeight="1" x14ac:dyDescent="0.35">
      <c r="A641" s="59">
        <f t="shared" si="2"/>
        <v>128</v>
      </c>
      <c r="B641" s="110" t="s">
        <v>912</v>
      </c>
      <c r="C641" s="44" t="s">
        <v>136</v>
      </c>
      <c r="D641" s="45" t="s">
        <v>302</v>
      </c>
      <c r="E641" s="46" t="s">
        <v>913</v>
      </c>
      <c r="F641" s="33">
        <v>46051</v>
      </c>
      <c r="G641" s="40">
        <v>46056</v>
      </c>
      <c r="H641" s="35">
        <v>85750</v>
      </c>
      <c r="I641" s="36">
        <v>85750</v>
      </c>
      <c r="J641" s="35">
        <f>SUM(Table1[[#This Row],[LC Value]:[Amd Value]])</f>
        <v>171500</v>
      </c>
      <c r="K641" s="36">
        <v>3.43</v>
      </c>
      <c r="L641" s="37">
        <v>25000</v>
      </c>
      <c r="M641" s="47" t="s">
        <v>356</v>
      </c>
      <c r="N641" s="47" t="s">
        <v>581</v>
      </c>
      <c r="O641" s="48" t="str">
        <f>IFERROR(_xlfn.XLOOKUP(C641, Data!$A$2:$A$236, Data!$C$2:$C$236), "")</f>
        <v>Mr. Lipu Sir</v>
      </c>
    </row>
    <row r="642" spans="1:15" ht="42" customHeight="1" x14ac:dyDescent="0.35">
      <c r="A642" s="59">
        <f t="shared" si="2"/>
        <v>127</v>
      </c>
      <c r="B642" s="110" t="s">
        <v>910</v>
      </c>
      <c r="C642" s="44" t="s">
        <v>199</v>
      </c>
      <c r="D642" s="45" t="s">
        <v>98</v>
      </c>
      <c r="E642" s="46" t="s">
        <v>911</v>
      </c>
      <c r="F642" s="33">
        <v>46051</v>
      </c>
      <c r="G642" s="40">
        <v>46056</v>
      </c>
      <c r="H642" s="35">
        <v>104400</v>
      </c>
      <c r="I642" s="36"/>
      <c r="J642" s="35">
        <f>SUM(Table1[[#This Row],[LC Value]:[Amd Value]])</f>
        <v>104400</v>
      </c>
      <c r="K642" s="36">
        <v>2.4</v>
      </c>
      <c r="L642" s="37">
        <v>43500</v>
      </c>
      <c r="M642" s="47" t="s">
        <v>581</v>
      </c>
      <c r="N642" s="47" t="s">
        <v>614</v>
      </c>
      <c r="O642" s="48" t="str">
        <f>IFERROR(_xlfn.XLOOKUP(C642, Data!$A$2:$A$236, Data!$C$2:$C$236), "")</f>
        <v>MD. Sir</v>
      </c>
    </row>
    <row r="643" spans="1:15" ht="42" customHeight="1" x14ac:dyDescent="0.35">
      <c r="A643" s="59">
        <f t="shared" si="2"/>
        <v>126</v>
      </c>
      <c r="B643" s="110" t="s">
        <v>908</v>
      </c>
      <c r="C643" s="44" t="s">
        <v>200</v>
      </c>
      <c r="D643" s="45" t="s">
        <v>98</v>
      </c>
      <c r="E643" s="46" t="s">
        <v>909</v>
      </c>
      <c r="F643" s="33">
        <v>46051</v>
      </c>
      <c r="G643" s="40">
        <v>46056</v>
      </c>
      <c r="H643" s="35">
        <v>114585</v>
      </c>
      <c r="I643" s="36"/>
      <c r="J643" s="35">
        <f>SUM(Table1[[#This Row],[LC Value]:[Amd Value]])</f>
        <v>114585</v>
      </c>
      <c r="K643" s="36">
        <v>3.4</v>
      </c>
      <c r="L643" s="37">
        <v>33300</v>
      </c>
      <c r="M643" s="47" t="s">
        <v>886</v>
      </c>
      <c r="N643" s="47" t="s">
        <v>905</v>
      </c>
      <c r="O643" s="48" t="str">
        <f>IFERROR(_xlfn.XLOOKUP(C643, Data!$A$2:$A$236, Data!$C$2:$C$236), "")</f>
        <v>MD. Sir</v>
      </c>
    </row>
    <row r="644" spans="1:15" ht="42" customHeight="1" x14ac:dyDescent="0.35">
      <c r="A644" s="59">
        <f t="shared" si="2"/>
        <v>125</v>
      </c>
      <c r="B644" s="110" t="s">
        <v>906</v>
      </c>
      <c r="C644" s="44" t="s">
        <v>200</v>
      </c>
      <c r="D644" s="45" t="s">
        <v>98</v>
      </c>
      <c r="E644" s="46" t="s">
        <v>907</v>
      </c>
      <c r="F644" s="33">
        <v>46051</v>
      </c>
      <c r="G644" s="40">
        <v>46056</v>
      </c>
      <c r="H644" s="35">
        <v>23310</v>
      </c>
      <c r="I644" s="36"/>
      <c r="J644" s="35">
        <f>SUM(Table1[[#This Row],[LC Value]:[Amd Value]])</f>
        <v>23310</v>
      </c>
      <c r="K644" s="36">
        <v>2.5</v>
      </c>
      <c r="L644" s="37">
        <v>7350</v>
      </c>
      <c r="M644" s="47" t="s">
        <v>886</v>
      </c>
      <c r="N644" s="47" t="s">
        <v>905</v>
      </c>
      <c r="O644" s="48" t="str">
        <f>IFERROR(_xlfn.XLOOKUP(C644, Data!$A$2:$A$236, Data!$C$2:$C$236), "")</f>
        <v>MD. Sir</v>
      </c>
    </row>
    <row r="645" spans="1:15" ht="42" customHeight="1" x14ac:dyDescent="0.35">
      <c r="A645" s="59">
        <f t="shared" si="2"/>
        <v>124</v>
      </c>
      <c r="B645" s="110" t="s">
        <v>901</v>
      </c>
      <c r="C645" s="44" t="s">
        <v>199</v>
      </c>
      <c r="D645" s="45" t="s">
        <v>98</v>
      </c>
      <c r="E645" s="46" t="s">
        <v>902</v>
      </c>
      <c r="F645" s="33">
        <v>46050</v>
      </c>
      <c r="G645" s="40">
        <v>46056</v>
      </c>
      <c r="H645" s="35">
        <v>16675</v>
      </c>
      <c r="I645" s="36"/>
      <c r="J645" s="35">
        <f>SUM(Table1[[#This Row],[LC Value]:[Amd Value]])</f>
        <v>16675</v>
      </c>
      <c r="K645" s="36">
        <v>2.2999999999999998</v>
      </c>
      <c r="L645" s="37">
        <v>7250</v>
      </c>
      <c r="M645" s="47" t="s">
        <v>416</v>
      </c>
      <c r="N645" s="47" t="s">
        <v>449</v>
      </c>
      <c r="O645" s="48" t="str">
        <f>IFERROR(_xlfn.XLOOKUP(C645, Data!$A$2:$A$236, Data!$C$2:$C$236), "")</f>
        <v>MD. Sir</v>
      </c>
    </row>
    <row r="646" spans="1:15" ht="42" customHeight="1" x14ac:dyDescent="0.35">
      <c r="A646" s="59">
        <f t="shared" si="2"/>
        <v>123</v>
      </c>
      <c r="B646" s="110" t="s">
        <v>899</v>
      </c>
      <c r="C646" s="44" t="s">
        <v>200</v>
      </c>
      <c r="D646" s="45" t="s">
        <v>98</v>
      </c>
      <c r="E646" s="46" t="s">
        <v>900</v>
      </c>
      <c r="F646" s="33">
        <v>46050</v>
      </c>
      <c r="G646" s="40">
        <v>46056</v>
      </c>
      <c r="H646" s="35">
        <v>44080</v>
      </c>
      <c r="I646" s="36"/>
      <c r="J646" s="35">
        <f>SUM(Table1[[#This Row],[LC Value]:[Amd Value]])</f>
        <v>44080</v>
      </c>
      <c r="K646" s="36">
        <v>3.7</v>
      </c>
      <c r="L646" s="37">
        <v>15200</v>
      </c>
      <c r="M646" s="47" t="s">
        <v>722</v>
      </c>
      <c r="N646" s="47" t="s">
        <v>783</v>
      </c>
      <c r="O646" s="48" t="str">
        <f>IFERROR(_xlfn.XLOOKUP(C646, Data!$A$2:$A$236, Data!$C$2:$C$236), "")</f>
        <v>MD. Sir</v>
      </c>
    </row>
    <row r="647" spans="1:15" ht="42" customHeight="1" x14ac:dyDescent="0.35">
      <c r="A647" s="59">
        <f t="shared" si="2"/>
        <v>122</v>
      </c>
      <c r="B647" s="110" t="s">
        <v>897</v>
      </c>
      <c r="C647" s="44" t="s">
        <v>200</v>
      </c>
      <c r="D647" s="45" t="s">
        <v>98</v>
      </c>
      <c r="E647" s="46" t="s">
        <v>898</v>
      </c>
      <c r="F647" s="33">
        <v>46050</v>
      </c>
      <c r="G647" s="40">
        <v>46056</v>
      </c>
      <c r="H647" s="35">
        <v>14060</v>
      </c>
      <c r="I647" s="36"/>
      <c r="J647" s="35">
        <f>SUM(Table1[[#This Row],[LC Value]:[Amd Value]])</f>
        <v>14060</v>
      </c>
      <c r="K647" s="36">
        <v>3.7</v>
      </c>
      <c r="L647" s="37">
        <v>3800</v>
      </c>
      <c r="M647" s="47" t="s">
        <v>722</v>
      </c>
      <c r="N647" s="47" t="s">
        <v>783</v>
      </c>
      <c r="O647" s="48" t="str">
        <f>IFERROR(_xlfn.XLOOKUP(C647, Data!$A$2:$A$236, Data!$C$2:$C$236), "")</f>
        <v>MD. Sir</v>
      </c>
    </row>
    <row r="648" spans="1:15" ht="42" customHeight="1" x14ac:dyDescent="0.35">
      <c r="A648" s="59">
        <f t="shared" si="2"/>
        <v>121</v>
      </c>
      <c r="B648" s="110" t="s">
        <v>895</v>
      </c>
      <c r="C648" s="44" t="s">
        <v>201</v>
      </c>
      <c r="D648" s="45" t="s">
        <v>96</v>
      </c>
      <c r="E648" s="46" t="s">
        <v>896</v>
      </c>
      <c r="F648" s="33">
        <v>46050</v>
      </c>
      <c r="G648" s="40">
        <v>46056</v>
      </c>
      <c r="H648" s="35">
        <f>160000+162500</f>
        <v>322500</v>
      </c>
      <c r="I648" s="36"/>
      <c r="J648" s="35">
        <f>SUM(Table1[[#This Row],[LC Value]:[Amd Value]])</f>
        <v>322500</v>
      </c>
      <c r="K648" s="36">
        <v>3.2</v>
      </c>
      <c r="L648" s="37">
        <v>100000</v>
      </c>
      <c r="M648" s="47" t="s">
        <v>452</v>
      </c>
      <c r="N648" s="47" t="s">
        <v>676</v>
      </c>
      <c r="O648" s="48" t="str">
        <f>IFERROR(_xlfn.XLOOKUP(C648, Data!$A$2:$A$236, Data!$C$2:$C$236), "")</f>
        <v>Director Sir</v>
      </c>
    </row>
    <row r="649" spans="1:15" ht="42" customHeight="1" x14ac:dyDescent="0.35">
      <c r="A649" s="59">
        <f t="shared" si="2"/>
        <v>120</v>
      </c>
      <c r="B649" s="110" t="s">
        <v>891</v>
      </c>
      <c r="C649" s="44" t="s">
        <v>201</v>
      </c>
      <c r="D649" s="45" t="s">
        <v>96</v>
      </c>
      <c r="E649" s="46" t="s">
        <v>892</v>
      </c>
      <c r="F649" s="33">
        <v>46050</v>
      </c>
      <c r="G649" s="40">
        <v>46056</v>
      </c>
      <c r="H649" s="35">
        <v>81500</v>
      </c>
      <c r="I649" s="36">
        <v>-250</v>
      </c>
      <c r="J649" s="35">
        <f>SUM(Table1[[#This Row],[LC Value]:[Amd Value]])</f>
        <v>81250</v>
      </c>
      <c r="K649" s="36">
        <v>8.6</v>
      </c>
      <c r="L649" s="37">
        <v>6450</v>
      </c>
      <c r="M649" s="47" t="s">
        <v>562</v>
      </c>
      <c r="N649" s="47" t="s">
        <v>669</v>
      </c>
      <c r="O649" s="48" t="str">
        <f>IFERROR(_xlfn.XLOOKUP(C649, Data!$A$2:$A$236, Data!$C$2:$C$236), "")</f>
        <v>Director Sir</v>
      </c>
    </row>
    <row r="650" spans="1:15" ht="42" customHeight="1" x14ac:dyDescent="0.35">
      <c r="A650" s="59">
        <f t="shared" si="2"/>
        <v>119</v>
      </c>
      <c r="B650" s="110" t="s">
        <v>889</v>
      </c>
      <c r="C650" s="44" t="s">
        <v>200</v>
      </c>
      <c r="D650" s="45" t="s">
        <v>135</v>
      </c>
      <c r="E650" s="46" t="s">
        <v>890</v>
      </c>
      <c r="F650" s="33">
        <v>46050</v>
      </c>
      <c r="G650" s="40">
        <v>46050</v>
      </c>
      <c r="H650" s="35">
        <v>55470</v>
      </c>
      <c r="I650" s="36"/>
      <c r="J650" s="35">
        <f>SUM(Table1[[#This Row],[LC Value]:[Amd Value]])</f>
        <v>55470</v>
      </c>
      <c r="K650" s="36">
        <v>8.6</v>
      </c>
      <c r="L650" s="37">
        <v>6450</v>
      </c>
      <c r="M650" s="47" t="s">
        <v>562</v>
      </c>
      <c r="N650" s="47" t="s">
        <v>669</v>
      </c>
      <c r="O650" s="48" t="str">
        <f>IFERROR(_xlfn.XLOOKUP(C650, Data!$A$2:$A$236, Data!$C$2:$C$236), "")</f>
        <v>MD. Sir</v>
      </c>
    </row>
    <row r="651" spans="1:15" ht="42" customHeight="1" x14ac:dyDescent="0.35">
      <c r="A651" s="59">
        <f t="shared" ref="A651" si="3">A652+1</f>
        <v>118</v>
      </c>
      <c r="B651" s="110" t="s">
        <v>887</v>
      </c>
      <c r="C651" s="44" t="s">
        <v>200</v>
      </c>
      <c r="D651" s="45" t="s">
        <v>135</v>
      </c>
      <c r="E651" s="46" t="s">
        <v>888</v>
      </c>
      <c r="F651" s="33">
        <v>46050</v>
      </c>
      <c r="G651" s="40">
        <v>46054</v>
      </c>
      <c r="H651" s="35">
        <v>8670</v>
      </c>
      <c r="I651" s="36"/>
      <c r="J651" s="35">
        <f>SUM(Table1[[#This Row],[LC Value]:[Amd Value]])</f>
        <v>8670</v>
      </c>
      <c r="K651" s="36">
        <v>2.9</v>
      </c>
      <c r="L651" s="37">
        <v>2800</v>
      </c>
      <c r="M651" s="47" t="s">
        <v>562</v>
      </c>
      <c r="N651" s="47" t="s">
        <v>669</v>
      </c>
      <c r="O651" s="48" t="str">
        <f>IFERROR(_xlfn.XLOOKUP(C651, Data!$A$2:$A$236, Data!$C$2:$C$236), "")</f>
        <v>MD. Sir</v>
      </c>
    </row>
    <row r="652" spans="1:15" ht="42" customHeight="1" x14ac:dyDescent="0.35">
      <c r="A652" s="59">
        <f t="shared" ref="A652:A657" si="4">A653+1</f>
        <v>117</v>
      </c>
      <c r="B652" s="110" t="s">
        <v>883</v>
      </c>
      <c r="C652" s="44" t="s">
        <v>279</v>
      </c>
      <c r="D652" s="45" t="s">
        <v>792</v>
      </c>
      <c r="E652" s="46" t="s">
        <v>884</v>
      </c>
      <c r="F652" s="33">
        <v>46050</v>
      </c>
      <c r="G652" s="40">
        <v>46056</v>
      </c>
      <c r="H652" s="35">
        <v>31250</v>
      </c>
      <c r="I652" s="36"/>
      <c r="J652" s="35">
        <f>SUM(Table1[[#This Row],[LC Value]:[Amd Value]])</f>
        <v>31250</v>
      </c>
      <c r="K652" s="36">
        <v>1.25</v>
      </c>
      <c r="L652" s="37">
        <v>25000</v>
      </c>
      <c r="M652" s="47" t="s">
        <v>350</v>
      </c>
      <c r="N652" s="47" t="s">
        <v>886</v>
      </c>
      <c r="O652" s="48" t="str">
        <f>IFERROR(_xlfn.XLOOKUP(C652, Data!$A$2:$A$236, Data!$C$2:$C$236), "")</f>
        <v>Director Sir</v>
      </c>
    </row>
    <row r="653" spans="1:15" ht="42" customHeight="1" x14ac:dyDescent="0.35">
      <c r="A653" s="59">
        <f t="shared" si="4"/>
        <v>116</v>
      </c>
      <c r="B653" s="110" t="s">
        <v>881</v>
      </c>
      <c r="C653" s="44" t="s">
        <v>64</v>
      </c>
      <c r="D653" s="45" t="s">
        <v>21</v>
      </c>
      <c r="E653" s="46" t="s">
        <v>882</v>
      </c>
      <c r="F653" s="33">
        <v>46049</v>
      </c>
      <c r="G653" s="40">
        <v>46051</v>
      </c>
      <c r="H653" s="35">
        <v>6100</v>
      </c>
      <c r="I653" s="36">
        <v>5325</v>
      </c>
      <c r="J653" s="35">
        <f>SUM(Table1[[#This Row],[LC Value]:[Amd Value]])</f>
        <v>11425</v>
      </c>
      <c r="K653" s="36">
        <v>3.05</v>
      </c>
      <c r="L653" s="37">
        <v>2000</v>
      </c>
      <c r="M653" s="47" t="s">
        <v>452</v>
      </c>
      <c r="N653" s="47" t="s">
        <v>676</v>
      </c>
      <c r="O653" s="48" t="str">
        <f>IFERROR(_xlfn.XLOOKUP(C653, Data!$A$2:$A$236, Data!$C$2:$C$236), "")</f>
        <v>Mr. Reza Sir</v>
      </c>
    </row>
    <row r="654" spans="1:15" ht="42" customHeight="1" x14ac:dyDescent="0.35">
      <c r="A654" s="59">
        <f t="shared" si="4"/>
        <v>115</v>
      </c>
      <c r="B654" s="110" t="s">
        <v>870</v>
      </c>
      <c r="C654" s="44" t="s">
        <v>865</v>
      </c>
      <c r="D654" s="45" t="s">
        <v>873</v>
      </c>
      <c r="E654" s="46" t="s">
        <v>871</v>
      </c>
      <c r="F654" s="33">
        <v>46049</v>
      </c>
      <c r="G654" s="40">
        <v>46054</v>
      </c>
      <c r="H654" s="35">
        <v>9725</v>
      </c>
      <c r="I654" s="36"/>
      <c r="J654" s="35">
        <f>SUM(Table1[[#This Row],[LC Value]:[Amd Value]])</f>
        <v>9725</v>
      </c>
      <c r="K654" s="36">
        <v>2.95</v>
      </c>
      <c r="L654" s="37">
        <v>3250</v>
      </c>
      <c r="M654" s="47" t="s">
        <v>869</v>
      </c>
      <c r="N654" s="47" t="s">
        <v>868</v>
      </c>
      <c r="O654" s="48" t="str">
        <f>IFERROR(_xlfn.XLOOKUP(C654, Data!$A$2:$A$236, Data!$C$2:$C$236), "")</f>
        <v>Mr. Lipu Sir</v>
      </c>
    </row>
    <row r="655" spans="1:15" ht="42" customHeight="1" x14ac:dyDescent="0.35">
      <c r="A655" s="59">
        <f t="shared" si="4"/>
        <v>114</v>
      </c>
      <c r="B655" s="110" t="s">
        <v>866</v>
      </c>
      <c r="C655" s="44" t="s">
        <v>185</v>
      </c>
      <c r="D655" s="45" t="s">
        <v>115</v>
      </c>
      <c r="E655" s="46" t="s">
        <v>867</v>
      </c>
      <c r="F655" s="33">
        <v>46049</v>
      </c>
      <c r="G655" s="40">
        <v>46049</v>
      </c>
      <c r="H655" s="35">
        <v>44051</v>
      </c>
      <c r="I655" s="36"/>
      <c r="J655" s="35">
        <f>SUM(Table1[[#This Row],[LC Value]:[Amd Value]])</f>
        <v>44051</v>
      </c>
      <c r="K655" s="36">
        <v>4.34</v>
      </c>
      <c r="L655" s="37">
        <v>10150</v>
      </c>
      <c r="M655" s="47" t="s">
        <v>869</v>
      </c>
      <c r="N655" s="47" t="s">
        <v>868</v>
      </c>
      <c r="O655" s="48" t="str">
        <f>IFERROR(_xlfn.XLOOKUP(C655, Data!$A$2:$A$236, Data!$C$2:$C$236), "")</f>
        <v>Director Sir</v>
      </c>
    </row>
    <row r="656" spans="1:15" ht="42" customHeight="1" x14ac:dyDescent="0.35">
      <c r="A656" s="59">
        <f t="shared" si="4"/>
        <v>113</v>
      </c>
      <c r="B656" s="110" t="s">
        <v>859</v>
      </c>
      <c r="C656" s="44" t="s">
        <v>199</v>
      </c>
      <c r="D656" s="45" t="s">
        <v>32</v>
      </c>
      <c r="E656" s="46" t="s">
        <v>860</v>
      </c>
      <c r="F656" s="33" t="s">
        <v>856</v>
      </c>
      <c r="G656" s="40">
        <v>46054</v>
      </c>
      <c r="H656" s="35">
        <v>46080</v>
      </c>
      <c r="I656" s="36">
        <v>5510</v>
      </c>
      <c r="J656" s="35">
        <f>SUM(Table1[[#This Row],[LC Value]:[Amd Value]])</f>
        <v>51590</v>
      </c>
      <c r="K656" s="36">
        <v>3.6</v>
      </c>
      <c r="L656" s="37">
        <v>12800</v>
      </c>
      <c r="M656" s="47" t="s">
        <v>452</v>
      </c>
      <c r="N656" s="47" t="s">
        <v>676</v>
      </c>
      <c r="O656" s="48" t="str">
        <f>IFERROR(_xlfn.XLOOKUP(C656, Data!$A$2:$A$236, Data!$C$2:$C$236), "")</f>
        <v>MD. Sir</v>
      </c>
    </row>
    <row r="657" spans="1:15" ht="42" customHeight="1" x14ac:dyDescent="0.35">
      <c r="A657" s="59">
        <f t="shared" si="4"/>
        <v>112</v>
      </c>
      <c r="B657" s="110" t="s">
        <v>854</v>
      </c>
      <c r="C657" s="44" t="s">
        <v>201</v>
      </c>
      <c r="D657" s="45" t="s">
        <v>21</v>
      </c>
      <c r="E657" s="46" t="s">
        <v>855</v>
      </c>
      <c r="F657" s="33" t="s">
        <v>856</v>
      </c>
      <c r="G657" s="40">
        <v>46051</v>
      </c>
      <c r="H657" s="35">
        <v>160000</v>
      </c>
      <c r="I657" s="36"/>
      <c r="J657" s="35">
        <f>SUM(Table1[[#This Row],[LC Value]:[Amd Value]])</f>
        <v>160000</v>
      </c>
      <c r="K657" s="36">
        <v>3.2</v>
      </c>
      <c r="L657" s="37">
        <v>50000</v>
      </c>
      <c r="M657" s="47" t="s">
        <v>416</v>
      </c>
      <c r="N657" s="47" t="s">
        <v>449</v>
      </c>
      <c r="O657" s="48" t="str">
        <f>IFERROR(_xlfn.XLOOKUP(C657, Data!$A$2:$A$236, Data!$C$2:$C$236), "")</f>
        <v>Director Sir</v>
      </c>
    </row>
    <row r="658" spans="1:15" ht="42" customHeight="1" x14ac:dyDescent="0.35">
      <c r="A658" s="55" t="s">
        <v>853</v>
      </c>
      <c r="B658" s="110" t="s">
        <v>851</v>
      </c>
      <c r="C658" s="44" t="s">
        <v>228</v>
      </c>
      <c r="D658" s="45" t="s">
        <v>229</v>
      </c>
      <c r="E658" s="46" t="s">
        <v>852</v>
      </c>
      <c r="F658" s="33" t="s">
        <v>818</v>
      </c>
      <c r="G658" s="40">
        <v>46050</v>
      </c>
      <c r="H658" s="35">
        <v>6300</v>
      </c>
      <c r="I658" s="53" t="s">
        <v>1317</v>
      </c>
      <c r="J658" s="35">
        <f>6300+11200+3100</f>
        <v>20600</v>
      </c>
      <c r="K658" s="36">
        <v>3.15</v>
      </c>
      <c r="L658" s="37">
        <v>2000</v>
      </c>
      <c r="M658" s="47" t="s">
        <v>441</v>
      </c>
      <c r="N658" s="47" t="s">
        <v>452</v>
      </c>
      <c r="O658" s="48" t="str">
        <f>IFERROR(_xlfn.XLOOKUP(C658, Data!$A$2:$A$236, Data!$C$2:$C$236), "")</f>
        <v>Mr. Amran Sir</v>
      </c>
    </row>
    <row r="659" spans="1:15" ht="42" customHeight="1" x14ac:dyDescent="0.35">
      <c r="A659" s="56">
        <f t="shared" ref="A659:A672" si="5">A660+1</f>
        <v>110</v>
      </c>
      <c r="B659" s="110" t="s">
        <v>847</v>
      </c>
      <c r="C659" s="44" t="s">
        <v>162</v>
      </c>
      <c r="D659" s="45" t="s">
        <v>849</v>
      </c>
      <c r="E659" s="46" t="s">
        <v>848</v>
      </c>
      <c r="F659" s="33" t="s">
        <v>846</v>
      </c>
      <c r="G659" s="40">
        <v>46051</v>
      </c>
      <c r="H659" s="35">
        <v>6500</v>
      </c>
      <c r="I659" s="36"/>
      <c r="J659" s="35">
        <f>SUM(Table1[[#This Row],[LC Value]:[Amd Value]])</f>
        <v>6500</v>
      </c>
      <c r="K659" s="36">
        <v>3.25</v>
      </c>
      <c r="L659" s="37">
        <v>2000</v>
      </c>
      <c r="M659" s="47" t="s">
        <v>452</v>
      </c>
      <c r="N659" s="47" t="s">
        <v>676</v>
      </c>
      <c r="O659" s="48" t="str">
        <f>IFERROR(_xlfn.XLOOKUP(C659, Data!$A$2:$A$236, Data!$C$2:$C$236), "")</f>
        <v>Mr. Reza Sir</v>
      </c>
    </row>
    <row r="660" spans="1:15" ht="42" customHeight="1" x14ac:dyDescent="0.35">
      <c r="A660" s="56">
        <f t="shared" si="5"/>
        <v>109</v>
      </c>
      <c r="B660" s="110" t="s">
        <v>839</v>
      </c>
      <c r="C660" s="44" t="s">
        <v>97</v>
      </c>
      <c r="D660" s="45" t="s">
        <v>792</v>
      </c>
      <c r="E660" s="46" t="s">
        <v>840</v>
      </c>
      <c r="F660" s="33" t="s">
        <v>818</v>
      </c>
      <c r="G660" s="40">
        <v>46051</v>
      </c>
      <c r="H660" s="35">
        <v>117270</v>
      </c>
      <c r="I660" s="36"/>
      <c r="J660" s="35">
        <f>SUM(Table1[[#This Row],[LC Value]:[Amd Value]])</f>
        <v>117270</v>
      </c>
      <c r="K660" s="36">
        <v>3</v>
      </c>
      <c r="L660" s="37">
        <v>38400</v>
      </c>
      <c r="M660" s="47" t="s">
        <v>344</v>
      </c>
      <c r="N660" s="47" t="s">
        <v>350</v>
      </c>
      <c r="O660" s="48" t="str">
        <f>IFERROR(_xlfn.XLOOKUP(C660, Data!$A$2:$A$236, Data!$C$2:$C$236), "")</f>
        <v>Mr. Reza Sir</v>
      </c>
    </row>
    <row r="661" spans="1:15" ht="42" customHeight="1" x14ac:dyDescent="0.35">
      <c r="A661" s="57">
        <f t="shared" si="5"/>
        <v>108</v>
      </c>
      <c r="B661" s="111" t="s">
        <v>831</v>
      </c>
      <c r="C661" s="44" t="s">
        <v>214</v>
      </c>
      <c r="D661" s="45" t="s">
        <v>224</v>
      </c>
      <c r="E661" s="46" t="s">
        <v>832</v>
      </c>
      <c r="F661" s="33" t="s">
        <v>818</v>
      </c>
      <c r="G661" s="40">
        <v>46056</v>
      </c>
      <c r="H661" s="35">
        <v>17872.5</v>
      </c>
      <c r="I661" s="36"/>
      <c r="J661" s="35">
        <f>SUM(Table1[[#This Row],[LC Value]:[Amd Value]])</f>
        <v>17872.5</v>
      </c>
      <c r="K661" s="36">
        <v>3.15</v>
      </c>
      <c r="L661" s="37">
        <v>5350</v>
      </c>
      <c r="M661" s="47" t="s">
        <v>523</v>
      </c>
      <c r="N661" s="47" t="s">
        <v>627</v>
      </c>
      <c r="O661" s="48" t="str">
        <f>IFERROR(_xlfn.XLOOKUP(C661, Data!$A$2:$A$236, Data!$C$2:$C$236), "")</f>
        <v>Mr. Lipu Sir</v>
      </c>
    </row>
    <row r="662" spans="1:15" ht="42" customHeight="1" x14ac:dyDescent="0.35">
      <c r="A662" s="57">
        <f t="shared" si="5"/>
        <v>107</v>
      </c>
      <c r="B662" s="111" t="s">
        <v>829</v>
      </c>
      <c r="C662" s="44" t="s">
        <v>201</v>
      </c>
      <c r="D662" s="45" t="s">
        <v>21</v>
      </c>
      <c r="E662" s="46" t="s">
        <v>830</v>
      </c>
      <c r="F662" s="33" t="s">
        <v>818</v>
      </c>
      <c r="G662" s="40">
        <v>46051</v>
      </c>
      <c r="H662" s="35">
        <v>80600</v>
      </c>
      <c r="I662" s="36"/>
      <c r="J662" s="35">
        <f>SUM(Table1[[#This Row],[LC Value]:[Amd Value]])</f>
        <v>80600</v>
      </c>
      <c r="K662" s="36">
        <v>3.1</v>
      </c>
      <c r="L662" s="37">
        <v>26000</v>
      </c>
      <c r="M662" s="47" t="s">
        <v>416</v>
      </c>
      <c r="N662" s="47" t="s">
        <v>449</v>
      </c>
      <c r="O662" s="48" t="str">
        <f>IFERROR(_xlfn.XLOOKUP(C662, Data!$A$2:$A$236, Data!$C$2:$C$236), "")</f>
        <v>Director Sir</v>
      </c>
    </row>
    <row r="663" spans="1:15" ht="42" customHeight="1" x14ac:dyDescent="0.35">
      <c r="A663" s="57">
        <f t="shared" si="5"/>
        <v>106</v>
      </c>
      <c r="B663" s="111" t="s">
        <v>821</v>
      </c>
      <c r="C663" s="44" t="s">
        <v>90</v>
      </c>
      <c r="D663" s="45" t="s">
        <v>91</v>
      </c>
      <c r="E663" s="46" t="s">
        <v>822</v>
      </c>
      <c r="F663" s="33" t="s">
        <v>818</v>
      </c>
      <c r="G663" s="40">
        <v>46051</v>
      </c>
      <c r="H663" s="35">
        <v>88900</v>
      </c>
      <c r="I663" s="36">
        <v>12225</v>
      </c>
      <c r="J663" s="35">
        <f>SUM(Table1[[#This Row],[LC Value]:[Amd Value]])</f>
        <v>101125</v>
      </c>
      <c r="K663" s="36">
        <v>8.6999999999999993</v>
      </c>
      <c r="L663" s="37">
        <v>10500</v>
      </c>
      <c r="M663" s="47" t="s">
        <v>440</v>
      </c>
      <c r="N663" s="47" t="s">
        <v>823</v>
      </c>
      <c r="O663" s="48" t="str">
        <f>IFERROR(_xlfn.XLOOKUP(C663, Data!$A$2:$A$236, Data!$C$2:$C$236), "")</f>
        <v>Mr. Wadud Sir</v>
      </c>
    </row>
    <row r="664" spans="1:15" ht="42" customHeight="1" x14ac:dyDescent="0.35">
      <c r="A664" s="57">
        <f t="shared" si="5"/>
        <v>105</v>
      </c>
      <c r="B664" s="111" t="s">
        <v>819</v>
      </c>
      <c r="C664" s="44" t="s">
        <v>201</v>
      </c>
      <c r="D664" s="45" t="s">
        <v>21</v>
      </c>
      <c r="E664" s="46" t="s">
        <v>820</v>
      </c>
      <c r="F664" s="33" t="s">
        <v>818</v>
      </c>
      <c r="G664" s="40">
        <v>46048</v>
      </c>
      <c r="H664" s="35">
        <v>22400</v>
      </c>
      <c r="I664" s="36"/>
      <c r="J664" s="35">
        <f>SUM(Table1[[#This Row],[LC Value]:[Amd Value]])</f>
        <v>22400</v>
      </c>
      <c r="K664" s="36">
        <v>2.5</v>
      </c>
      <c r="L664" s="37">
        <v>7000</v>
      </c>
      <c r="M664" s="47" t="s">
        <v>357</v>
      </c>
      <c r="N664" s="47" t="s">
        <v>356</v>
      </c>
      <c r="O664" s="48" t="str">
        <f>IFERROR(_xlfn.XLOOKUP(C664, Data!$A$2:$A$236, Data!$C$2:$C$236), "")</f>
        <v>Director Sir</v>
      </c>
    </row>
    <row r="665" spans="1:15" ht="42" customHeight="1" x14ac:dyDescent="0.35">
      <c r="A665" s="57">
        <f t="shared" si="5"/>
        <v>104</v>
      </c>
      <c r="B665" s="111" t="s">
        <v>816</v>
      </c>
      <c r="C665" s="44" t="s">
        <v>199</v>
      </c>
      <c r="D665" s="45" t="s">
        <v>32</v>
      </c>
      <c r="E665" s="46" t="s">
        <v>817</v>
      </c>
      <c r="F665" s="33" t="s">
        <v>818</v>
      </c>
      <c r="G665" s="40">
        <v>46051</v>
      </c>
      <c r="H665" s="35">
        <f>15000+2025+17250+1765+60225+126000</f>
        <v>222265</v>
      </c>
      <c r="I665" s="36"/>
      <c r="J665" s="35">
        <f>SUM(Table1[[#This Row],[LC Value]:[Amd Value]])</f>
        <v>222265</v>
      </c>
      <c r="K665" s="36">
        <v>2.5</v>
      </c>
      <c r="L665" s="37">
        <f>6000+900+5750+600+20750+56000</f>
        <v>90000</v>
      </c>
      <c r="M665" s="47" t="s">
        <v>614</v>
      </c>
      <c r="N665" s="47" t="s">
        <v>807</v>
      </c>
      <c r="O665" s="48" t="str">
        <f>IFERROR(_xlfn.XLOOKUP(C665, Data!$A$2:$A$236, Data!$C$2:$C$236), "")</f>
        <v>MD. Sir</v>
      </c>
    </row>
    <row r="666" spans="1:15" ht="42" customHeight="1" x14ac:dyDescent="0.35">
      <c r="A666" s="57">
        <f t="shared" si="5"/>
        <v>103</v>
      </c>
      <c r="B666" s="111" t="s">
        <v>812</v>
      </c>
      <c r="C666" s="44" t="s">
        <v>201</v>
      </c>
      <c r="D666" s="45" t="s">
        <v>21</v>
      </c>
      <c r="E666" s="46" t="s">
        <v>813</v>
      </c>
      <c r="F666" s="33" t="s">
        <v>796</v>
      </c>
      <c r="G666" s="40">
        <v>46048</v>
      </c>
      <c r="H666" s="35">
        <v>74400</v>
      </c>
      <c r="I666" s="36"/>
      <c r="J666" s="35">
        <f>SUM(Table1[[#This Row],[LC Value]:[Amd Value]])</f>
        <v>74400</v>
      </c>
      <c r="K666" s="36">
        <v>3.1</v>
      </c>
      <c r="L666" s="37">
        <v>24000</v>
      </c>
      <c r="M666" s="47" t="s">
        <v>361</v>
      </c>
      <c r="N666" s="47" t="s">
        <v>523</v>
      </c>
      <c r="O666" s="48" t="str">
        <f>IFERROR(_xlfn.XLOOKUP(C666, Data!$A$2:$A$236, Data!$C$2:$C$236), "")</f>
        <v>Director Sir</v>
      </c>
    </row>
    <row r="667" spans="1:15" ht="42" customHeight="1" x14ac:dyDescent="0.35">
      <c r="A667" s="57">
        <f t="shared" si="5"/>
        <v>102</v>
      </c>
      <c r="B667" s="111" t="s">
        <v>810</v>
      </c>
      <c r="C667" s="44" t="s">
        <v>199</v>
      </c>
      <c r="D667" s="45" t="s">
        <v>32</v>
      </c>
      <c r="E667" s="46" t="s">
        <v>811</v>
      </c>
      <c r="F667" s="33" t="s">
        <v>796</v>
      </c>
      <c r="G667" s="40">
        <v>46048</v>
      </c>
      <c r="H667" s="35">
        <f>99125+7680+11280+68395+57110</f>
        <v>243590</v>
      </c>
      <c r="I667" s="36"/>
      <c r="J667" s="35">
        <f>SUM(Table1[[#This Row],[LC Value]:[Amd Value]])</f>
        <v>243590</v>
      </c>
      <c r="K667" s="36">
        <v>2.85</v>
      </c>
      <c r="L667" s="37">
        <f>700+1300+6500+43900</f>
        <v>52400</v>
      </c>
      <c r="M667" s="47" t="s">
        <v>614</v>
      </c>
      <c r="N667" s="47" t="s">
        <v>807</v>
      </c>
      <c r="O667" s="48" t="str">
        <f>IFERROR(_xlfn.XLOOKUP(C667, Data!$A$2:$A$236, Data!$C$2:$C$236), "")</f>
        <v>MD. Sir</v>
      </c>
    </row>
    <row r="668" spans="1:15" ht="42" customHeight="1" x14ac:dyDescent="0.35">
      <c r="A668" s="57">
        <f t="shared" si="5"/>
        <v>101</v>
      </c>
      <c r="B668" s="111" t="s">
        <v>808</v>
      </c>
      <c r="C668" s="44" t="s">
        <v>199</v>
      </c>
      <c r="D668" s="45" t="s">
        <v>353</v>
      </c>
      <c r="E668" s="46" t="s">
        <v>809</v>
      </c>
      <c r="F668" s="33" t="s">
        <v>796</v>
      </c>
      <c r="G668" s="40">
        <v>46049</v>
      </c>
      <c r="H668" s="35">
        <f>64750+58115+3410+1392.5+1540+81590</f>
        <v>210797.5</v>
      </c>
      <c r="I668" s="36"/>
      <c r="J668" s="35">
        <f>SUM(Table1[[#This Row],[LC Value]:[Amd Value]])</f>
        <v>210797.5</v>
      </c>
      <c r="K668" s="36">
        <v>2.85</v>
      </c>
      <c r="L668" s="37">
        <f>700+1300+6500+43900</f>
        <v>52400</v>
      </c>
      <c r="M668" s="47" t="s">
        <v>614</v>
      </c>
      <c r="N668" s="47" t="s">
        <v>807</v>
      </c>
      <c r="O668" s="48" t="str">
        <f>IFERROR(_xlfn.XLOOKUP(C668, Data!$A$2:$A$236, Data!$C$2:$C$236), "")</f>
        <v>MD. Sir</v>
      </c>
    </row>
    <row r="669" spans="1:15" ht="42" customHeight="1" x14ac:dyDescent="0.35">
      <c r="A669" s="57">
        <f t="shared" si="5"/>
        <v>100</v>
      </c>
      <c r="B669" s="111" t="s">
        <v>805</v>
      </c>
      <c r="C669" s="44" t="s">
        <v>199</v>
      </c>
      <c r="D669" s="45" t="s">
        <v>98</v>
      </c>
      <c r="E669" s="46" t="s">
        <v>806</v>
      </c>
      <c r="F669" s="33" t="s">
        <v>796</v>
      </c>
      <c r="G669" s="40">
        <v>46051</v>
      </c>
      <c r="H669" s="35">
        <f>1957.5+4170+20190+129070</f>
        <v>155387.5</v>
      </c>
      <c r="I669" s="36"/>
      <c r="J669" s="35">
        <f>SUM(Table1[[#This Row],[LC Value]:[Amd Value]])</f>
        <v>155387.5</v>
      </c>
      <c r="K669" s="36">
        <v>2.85</v>
      </c>
      <c r="L669" s="37">
        <f>700+1300+6500+43900</f>
        <v>52400</v>
      </c>
      <c r="M669" s="47" t="s">
        <v>614</v>
      </c>
      <c r="N669" s="47" t="s">
        <v>807</v>
      </c>
      <c r="O669" s="48" t="str">
        <f>IFERROR(_xlfn.XLOOKUP(C669, Data!$A$2:$A$236, Data!$C$2:$C$236), "")</f>
        <v>MD. Sir</v>
      </c>
    </row>
    <row r="670" spans="1:15" ht="42" customHeight="1" x14ac:dyDescent="0.35">
      <c r="A670" s="57">
        <f t="shared" si="5"/>
        <v>99</v>
      </c>
      <c r="B670" s="111" t="s">
        <v>803</v>
      </c>
      <c r="C670" s="44" t="s">
        <v>199</v>
      </c>
      <c r="D670" s="45" t="s">
        <v>98</v>
      </c>
      <c r="E670" s="46" t="s">
        <v>804</v>
      </c>
      <c r="F670" s="33" t="s">
        <v>796</v>
      </c>
      <c r="G670" s="40">
        <v>46051</v>
      </c>
      <c r="H670" s="35">
        <f>45437.5+22140+18750+18732.5</f>
        <v>105060</v>
      </c>
      <c r="I670" s="36"/>
      <c r="J670" s="35">
        <f>SUM(Table1[[#This Row],[LC Value]:[Amd Value]])</f>
        <v>105060</v>
      </c>
      <c r="K670" s="36">
        <v>2.9</v>
      </c>
      <c r="L670" s="37">
        <v>3150</v>
      </c>
      <c r="M670" s="47" t="s">
        <v>417</v>
      </c>
      <c r="N670" s="47" t="s">
        <v>452</v>
      </c>
      <c r="O670" s="48" t="str">
        <f>IFERROR(_xlfn.XLOOKUP(C670, Data!$A$2:$A$236, Data!$C$2:$C$236), "")</f>
        <v>MD. Sir</v>
      </c>
    </row>
    <row r="671" spans="1:15" ht="42" customHeight="1" x14ac:dyDescent="0.35">
      <c r="A671" s="57">
        <f t="shared" si="5"/>
        <v>98</v>
      </c>
      <c r="B671" s="111" t="s">
        <v>801</v>
      </c>
      <c r="C671" s="44" t="s">
        <v>199</v>
      </c>
      <c r="D671" s="45" t="s">
        <v>353</v>
      </c>
      <c r="E671" s="46" t="s">
        <v>802</v>
      </c>
      <c r="F671" s="33" t="s">
        <v>796</v>
      </c>
      <c r="G671" s="40">
        <v>46049</v>
      </c>
      <c r="H671" s="35">
        <v>8865</v>
      </c>
      <c r="I671" s="36"/>
      <c r="J671" s="35">
        <f>SUM(Table1[[#This Row],[LC Value]:[Amd Value]])</f>
        <v>8865</v>
      </c>
      <c r="K671" s="36">
        <v>2.9</v>
      </c>
      <c r="L671" s="37">
        <v>3150</v>
      </c>
      <c r="M671" s="47" t="s">
        <v>417</v>
      </c>
      <c r="N671" s="47" t="s">
        <v>452</v>
      </c>
      <c r="O671" s="48" t="str">
        <f>IFERROR(_xlfn.XLOOKUP(C671, Data!$A$2:$A$236, Data!$C$2:$C$236), "")</f>
        <v>MD. Sir</v>
      </c>
    </row>
    <row r="672" spans="1:15" ht="42" customHeight="1" x14ac:dyDescent="0.35">
      <c r="A672" s="57">
        <f t="shared" si="5"/>
        <v>97</v>
      </c>
      <c r="B672" s="111" t="s">
        <v>790</v>
      </c>
      <c r="C672" s="44" t="s">
        <v>791</v>
      </c>
      <c r="D672" s="45" t="s">
        <v>792</v>
      </c>
      <c r="E672" s="46" t="s">
        <v>793</v>
      </c>
      <c r="F672" s="33" t="s">
        <v>690</v>
      </c>
      <c r="G672" s="40">
        <v>46044</v>
      </c>
      <c r="H672" s="35">
        <v>39000</v>
      </c>
      <c r="I672" s="36"/>
      <c r="J672" s="35">
        <f>SUM(Table1[[#This Row],[LC Value]:[Amd Value]])</f>
        <v>39000</v>
      </c>
      <c r="K672" s="36">
        <v>3</v>
      </c>
      <c r="L672" s="37">
        <v>13000</v>
      </c>
      <c r="M672" s="47" t="s">
        <v>417</v>
      </c>
      <c r="N672" s="47" t="s">
        <v>452</v>
      </c>
      <c r="O672" s="48" t="str">
        <f>IFERROR(_xlfn.XLOOKUP(C672, Data!$A$2:$A$236, Data!$C$2:$C$236), "")</f>
        <v>Mr. Amran Sir</v>
      </c>
    </row>
    <row r="673" spans="1:15" ht="42" customHeight="1" x14ac:dyDescent="0.35">
      <c r="A673" s="57">
        <f t="shared" ref="A673:A680" si="6">A674+1</f>
        <v>96</v>
      </c>
      <c r="B673" s="111" t="s">
        <v>788</v>
      </c>
      <c r="C673" s="44" t="s">
        <v>238</v>
      </c>
      <c r="D673" s="45" t="s">
        <v>113</v>
      </c>
      <c r="E673" s="46" t="s">
        <v>789</v>
      </c>
      <c r="F673" s="33">
        <v>46043</v>
      </c>
      <c r="G673" s="40">
        <v>46049</v>
      </c>
      <c r="H673" s="35">
        <v>11065</v>
      </c>
      <c r="I673" s="36"/>
      <c r="J673" s="35">
        <f>SUM(Table1[[#This Row],[LC Value]:[Amd Value]])</f>
        <v>11065</v>
      </c>
      <c r="K673" s="36">
        <v>3.8</v>
      </c>
      <c r="L673" s="37">
        <v>3050</v>
      </c>
      <c r="M673" s="47" t="s">
        <v>356</v>
      </c>
      <c r="N673" s="47" t="s">
        <v>581</v>
      </c>
      <c r="O673" s="48" t="str">
        <f>IFERROR(_xlfn.XLOOKUP(C673, Data!$A$2:$A$236, Data!$C$2:$C$236), "")</f>
        <v>Mr. Reza Sir</v>
      </c>
    </row>
    <row r="674" spans="1:15" ht="42" customHeight="1" x14ac:dyDescent="0.35">
      <c r="A674" s="57">
        <f t="shared" si="6"/>
        <v>95</v>
      </c>
      <c r="B674" s="111" t="s">
        <v>786</v>
      </c>
      <c r="C674" s="44" t="s">
        <v>64</v>
      </c>
      <c r="D674" s="45" t="s">
        <v>21</v>
      </c>
      <c r="E674" s="46" t="s">
        <v>787</v>
      </c>
      <c r="F674" s="33">
        <v>46043</v>
      </c>
      <c r="G674" s="40">
        <v>46048</v>
      </c>
      <c r="H674" s="35">
        <v>139665</v>
      </c>
      <c r="I674" s="36"/>
      <c r="J674" s="35">
        <f>SUM(Table1[[#This Row],[LC Value]:[Amd Value]])</f>
        <v>139665</v>
      </c>
      <c r="K674" s="36">
        <v>3.6</v>
      </c>
      <c r="L674" s="37">
        <v>47300</v>
      </c>
      <c r="M674" s="47" t="s">
        <v>452</v>
      </c>
      <c r="N674" s="47" t="s">
        <v>676</v>
      </c>
      <c r="O674" s="48" t="str">
        <f>IFERROR(_xlfn.XLOOKUP(C674, Data!$A$2:$A$236, Data!$C$2:$C$236), "")</f>
        <v>Mr. Reza Sir</v>
      </c>
    </row>
    <row r="675" spans="1:15" ht="42" customHeight="1" x14ac:dyDescent="0.35">
      <c r="A675" s="57">
        <f t="shared" si="6"/>
        <v>94</v>
      </c>
      <c r="B675" s="111" t="s">
        <v>784</v>
      </c>
      <c r="C675" s="44" t="s">
        <v>68</v>
      </c>
      <c r="D675" s="45" t="s">
        <v>414</v>
      </c>
      <c r="E675" s="46" t="s">
        <v>785</v>
      </c>
      <c r="F675" s="33">
        <v>46043</v>
      </c>
      <c r="G675" s="40">
        <v>46048</v>
      </c>
      <c r="H675" s="35">
        <v>9000</v>
      </c>
      <c r="I675" s="36"/>
      <c r="J675" s="35">
        <f>SUM(Table1[[#This Row],[LC Value]:[Amd Value]])</f>
        <v>9000</v>
      </c>
      <c r="K675" s="36">
        <v>3.6</v>
      </c>
      <c r="L675" s="37">
        <v>2500</v>
      </c>
      <c r="M675" s="47" t="s">
        <v>669</v>
      </c>
      <c r="N675" s="47" t="s">
        <v>531</v>
      </c>
      <c r="O675" s="48" t="str">
        <f>IFERROR(_xlfn.XLOOKUP(C675, Data!$A$2:$A$236, Data!$C$2:$C$236), "")</f>
        <v>Director Sir</v>
      </c>
    </row>
    <row r="676" spans="1:15" ht="42" customHeight="1" x14ac:dyDescent="0.35">
      <c r="A676" s="57">
        <f t="shared" si="6"/>
        <v>93</v>
      </c>
      <c r="B676" s="111" t="s">
        <v>780</v>
      </c>
      <c r="C676" s="44" t="s">
        <v>68</v>
      </c>
      <c r="D676" s="45" t="s">
        <v>414</v>
      </c>
      <c r="E676" s="46" t="s">
        <v>781</v>
      </c>
      <c r="F676" s="33">
        <v>46043</v>
      </c>
      <c r="G676" s="40">
        <v>46049</v>
      </c>
      <c r="H676" s="35">
        <v>38827</v>
      </c>
      <c r="I676" s="36">
        <v>-475</v>
      </c>
      <c r="J676" s="35">
        <f>SUM(Table1[[#This Row],[LC Value]:[Amd Value]])</f>
        <v>38352</v>
      </c>
      <c r="K676" s="36">
        <v>4.29</v>
      </c>
      <c r="L676" s="37">
        <v>10800</v>
      </c>
      <c r="M676" s="47" t="s">
        <v>783</v>
      </c>
      <c r="N676" s="47" t="s">
        <v>782</v>
      </c>
      <c r="O676" s="48" t="str">
        <f>IFERROR(_xlfn.XLOOKUP(C676, Data!$A$2:$A$236, Data!$C$2:$C$236), "")</f>
        <v>Director Sir</v>
      </c>
    </row>
    <row r="677" spans="1:15" ht="42" customHeight="1" x14ac:dyDescent="0.35">
      <c r="A677" s="57">
        <f t="shared" si="6"/>
        <v>92</v>
      </c>
      <c r="B677" s="111" t="s">
        <v>778</v>
      </c>
      <c r="C677" s="44" t="s">
        <v>64</v>
      </c>
      <c r="D677" s="45" t="s">
        <v>21</v>
      </c>
      <c r="E677" s="46" t="s">
        <v>779</v>
      </c>
      <c r="F677" s="33">
        <v>46043</v>
      </c>
      <c r="G677" s="40">
        <v>46048</v>
      </c>
      <c r="H677" s="35">
        <v>225450</v>
      </c>
      <c r="I677" s="36"/>
      <c r="J677" s="35">
        <f>SUM(Table1[[#This Row],[LC Value]:[Amd Value]])</f>
        <v>225450</v>
      </c>
      <c r="K677" s="36">
        <v>2.85</v>
      </c>
      <c r="L677" s="37">
        <v>76500</v>
      </c>
      <c r="M677" s="47" t="s">
        <v>452</v>
      </c>
      <c r="N677" s="47" t="s">
        <v>676</v>
      </c>
      <c r="O677" s="48" t="str">
        <f>IFERROR(_xlfn.XLOOKUP(C677, Data!$A$2:$A$236, Data!$C$2:$C$236), "")</f>
        <v>Mr. Reza Sir</v>
      </c>
    </row>
    <row r="678" spans="1:15" ht="42" customHeight="1" x14ac:dyDescent="0.35">
      <c r="A678" s="57">
        <f t="shared" si="6"/>
        <v>91</v>
      </c>
      <c r="B678" s="111" t="s">
        <v>776</v>
      </c>
      <c r="C678" s="44" t="s">
        <v>174</v>
      </c>
      <c r="D678" s="45" t="s">
        <v>773</v>
      </c>
      <c r="E678" s="46" t="s">
        <v>777</v>
      </c>
      <c r="F678" s="33">
        <v>46043</v>
      </c>
      <c r="G678" s="40">
        <v>46051</v>
      </c>
      <c r="H678" s="35">
        <v>32500</v>
      </c>
      <c r="I678" s="36"/>
      <c r="J678" s="35">
        <f>SUM(Table1[[#This Row],[LC Value]:[Amd Value]])</f>
        <v>32500</v>
      </c>
      <c r="K678" s="36">
        <v>3.25</v>
      </c>
      <c r="L678" s="37">
        <v>10000</v>
      </c>
      <c r="M678" s="47" t="s">
        <v>361</v>
      </c>
      <c r="N678" s="47" t="s">
        <v>523</v>
      </c>
      <c r="O678" s="48" t="str">
        <f>IFERROR(_xlfn.XLOOKUP(C678, Data!$A$2:$A$236, Data!$C$2:$C$236), "")</f>
        <v>Mr. Reza Sir</v>
      </c>
    </row>
    <row r="679" spans="1:15" ht="42" customHeight="1" x14ac:dyDescent="0.35">
      <c r="A679" s="57">
        <f t="shared" si="6"/>
        <v>90</v>
      </c>
      <c r="B679" s="111" t="s">
        <v>772</v>
      </c>
      <c r="C679" s="44" t="s">
        <v>174</v>
      </c>
      <c r="D679" s="45" t="s">
        <v>773</v>
      </c>
      <c r="E679" s="46" t="s">
        <v>774</v>
      </c>
      <c r="F679" s="33">
        <v>46043</v>
      </c>
      <c r="G679" s="40">
        <v>46051</v>
      </c>
      <c r="H679" s="35">
        <v>45500</v>
      </c>
      <c r="I679" s="36"/>
      <c r="J679" s="35">
        <f>SUM(Table1[[#This Row],[LC Value]:[Amd Value]])</f>
        <v>45500</v>
      </c>
      <c r="K679" s="36">
        <v>3.25</v>
      </c>
      <c r="L679" s="37">
        <v>14000</v>
      </c>
      <c r="M679" s="47" t="s">
        <v>361</v>
      </c>
      <c r="N679" s="47" t="s">
        <v>523</v>
      </c>
      <c r="O679" s="48" t="str">
        <f>IFERROR(_xlfn.XLOOKUP(C679, Data!$A$2:$A$236, Data!$C$2:$C$236), "")</f>
        <v>Mr. Reza Sir</v>
      </c>
    </row>
    <row r="680" spans="1:15" ht="42" customHeight="1" x14ac:dyDescent="0.35">
      <c r="A680" s="57">
        <f t="shared" si="6"/>
        <v>89</v>
      </c>
      <c r="B680" s="111" t="s">
        <v>770</v>
      </c>
      <c r="C680" s="44" t="s">
        <v>38</v>
      </c>
      <c r="D680" s="45" t="s">
        <v>189</v>
      </c>
      <c r="E680" s="46" t="s">
        <v>771</v>
      </c>
      <c r="F680" s="33" t="s">
        <v>761</v>
      </c>
      <c r="G680" s="40">
        <v>46043</v>
      </c>
      <c r="H680" s="35">
        <v>30150</v>
      </c>
      <c r="I680" s="36"/>
      <c r="J680" s="35">
        <f>SUM(Table1[[#This Row],[LC Value]:[Amd Value]])</f>
        <v>30150</v>
      </c>
      <c r="K680" s="36">
        <v>3.35</v>
      </c>
      <c r="L680" s="37">
        <v>9000</v>
      </c>
      <c r="M680" s="47" t="s">
        <v>417</v>
      </c>
      <c r="N680" s="47" t="s">
        <v>452</v>
      </c>
      <c r="O680" s="48" t="str">
        <f>IFERROR(_xlfn.XLOOKUP(C680, Data!$A$2:$A$236, Data!$C$2:$C$236), "")</f>
        <v>Mr. Sohel Sir</v>
      </c>
    </row>
    <row r="681" spans="1:15" ht="42" customHeight="1" x14ac:dyDescent="0.35">
      <c r="A681" s="32" t="s">
        <v>766</v>
      </c>
      <c r="B681" s="111" t="s">
        <v>767</v>
      </c>
      <c r="C681" s="44" t="s">
        <v>228</v>
      </c>
      <c r="D681" s="45" t="s">
        <v>229</v>
      </c>
      <c r="E681" s="46" t="s">
        <v>768</v>
      </c>
      <c r="F681" s="33" t="s">
        <v>690</v>
      </c>
      <c r="G681" s="40">
        <v>46043</v>
      </c>
      <c r="H681" s="35">
        <v>20650</v>
      </c>
      <c r="I681" s="36">
        <v>16380</v>
      </c>
      <c r="J681" s="35">
        <f>SUM(Table1[[#This Row],[LC Value]:[Amd Value]])</f>
        <v>37030</v>
      </c>
      <c r="K681" s="36">
        <v>2.95</v>
      </c>
      <c r="L681" s="37">
        <v>7000</v>
      </c>
      <c r="M681" s="47" t="s">
        <v>441</v>
      </c>
      <c r="N681" s="47" t="s">
        <v>452</v>
      </c>
      <c r="O681" s="48" t="str">
        <f>IFERROR(_xlfn.XLOOKUP(C681, Data!$A$2:$A$236, Data!$C$2:$C$236), "")</f>
        <v>Mr. Amran Sir</v>
      </c>
    </row>
    <row r="682" spans="1:15" ht="42" customHeight="1" x14ac:dyDescent="0.35">
      <c r="A682" s="32" t="s">
        <v>756</v>
      </c>
      <c r="B682" s="111" t="s">
        <v>757</v>
      </c>
      <c r="C682" s="44" t="s">
        <v>88</v>
      </c>
      <c r="D682" s="45" t="s">
        <v>758</v>
      </c>
      <c r="E682" s="46" t="s">
        <v>760</v>
      </c>
      <c r="F682" s="33" t="s">
        <v>761</v>
      </c>
      <c r="G682" s="40">
        <v>46048</v>
      </c>
      <c r="H682" s="35">
        <v>14950</v>
      </c>
      <c r="I682" s="52">
        <v>3575</v>
      </c>
      <c r="J682" s="35">
        <f>SUM(Table1[[#This Row],[LC Value]:[Amd Value]])</f>
        <v>18525</v>
      </c>
      <c r="K682" s="36">
        <v>3.25</v>
      </c>
      <c r="L682" s="37">
        <v>4600</v>
      </c>
      <c r="M682" s="47" t="s">
        <v>452</v>
      </c>
      <c r="N682" s="47" t="s">
        <v>676</v>
      </c>
      <c r="O682" s="48" t="str">
        <f>IFERROR(_xlfn.XLOOKUP(C682, Data!$A$2:$A$236, Data!$C$2:$C$236), "")</f>
        <v>Mr. Lipu Sir</v>
      </c>
    </row>
    <row r="683" spans="1:15" ht="42" customHeight="1" x14ac:dyDescent="0.35">
      <c r="A683" s="32" t="s">
        <v>753</v>
      </c>
      <c r="B683" s="111" t="s">
        <v>754</v>
      </c>
      <c r="C683" s="44" t="s">
        <v>199</v>
      </c>
      <c r="D683" s="45" t="s">
        <v>32</v>
      </c>
      <c r="E683" s="46" t="s">
        <v>755</v>
      </c>
      <c r="F683" s="33" t="s">
        <v>742</v>
      </c>
      <c r="G683" s="40">
        <v>46048</v>
      </c>
      <c r="H683" s="35">
        <f>5130+2400+61950+81272.5+3540</f>
        <v>154292.5</v>
      </c>
      <c r="I683" s="36"/>
      <c r="J683" s="35">
        <f>SUM(Table1[[#This Row],[LC Value]:[Amd Value]])</f>
        <v>154292.5</v>
      </c>
      <c r="K683" s="36">
        <v>3.05</v>
      </c>
      <c r="L683" s="37">
        <f>1700+800+21000+27550+1200</f>
        <v>52250</v>
      </c>
      <c r="M683" s="47" t="s">
        <v>452</v>
      </c>
      <c r="N683" s="47" t="s">
        <v>676</v>
      </c>
      <c r="O683" s="48" t="str">
        <f>IFERROR(_xlfn.XLOOKUP(C683, Data!$A$2:$A$236, Data!$C$2:$C$236), "")</f>
        <v>MD. Sir</v>
      </c>
    </row>
    <row r="684" spans="1:15" ht="42" customHeight="1" x14ac:dyDescent="0.35">
      <c r="A684" s="46" t="s">
        <v>743</v>
      </c>
      <c r="B684" s="111" t="s">
        <v>744</v>
      </c>
      <c r="C684" s="44" t="s">
        <v>185</v>
      </c>
      <c r="D684" s="45" t="s">
        <v>115</v>
      </c>
      <c r="E684" s="46" t="s">
        <v>745</v>
      </c>
      <c r="F684" s="33" t="s">
        <v>742</v>
      </c>
      <c r="G684" s="40">
        <v>46043</v>
      </c>
      <c r="H684" s="35">
        <f>46800+5120.22</f>
        <v>51920.22</v>
      </c>
      <c r="I684" s="36"/>
      <c r="J684" s="35">
        <f>SUM(Table1[[#This Row],[LC Value]:[Amd Value]])</f>
        <v>51920.22</v>
      </c>
      <c r="K684" s="36">
        <v>3.25</v>
      </c>
      <c r="L684" s="37">
        <f>14400+1417.4</f>
        <v>15817.4</v>
      </c>
      <c r="M684" s="47" t="s">
        <v>452</v>
      </c>
      <c r="N684" s="47" t="s">
        <v>676</v>
      </c>
      <c r="O684" s="48" t="str">
        <f>IFERROR(_xlfn.XLOOKUP(C684, Data!$A$2:$A$236, Data!$C$2:$C$236), "")</f>
        <v>Director Sir</v>
      </c>
    </row>
    <row r="685" spans="1:15" ht="42" customHeight="1" x14ac:dyDescent="0.35">
      <c r="A685" s="46" t="s">
        <v>737</v>
      </c>
      <c r="B685" s="111" t="s">
        <v>738</v>
      </c>
      <c r="C685" s="44" t="s">
        <v>90</v>
      </c>
      <c r="D685" s="45" t="s">
        <v>739</v>
      </c>
      <c r="E685" s="46" t="s">
        <v>740</v>
      </c>
      <c r="F685" s="33" t="s">
        <v>742</v>
      </c>
      <c r="G685" s="40">
        <v>46043</v>
      </c>
      <c r="H685" s="35">
        <f>348000+68000</f>
        <v>416000</v>
      </c>
      <c r="I685" s="36"/>
      <c r="J685" s="35">
        <f>SUM(Table1[[#This Row],[LC Value]:[Amd Value]])</f>
        <v>416000</v>
      </c>
      <c r="K685" s="36">
        <v>8.6999999999999993</v>
      </c>
      <c r="L685" s="37">
        <v>48050</v>
      </c>
      <c r="M685" s="47" t="s">
        <v>452</v>
      </c>
      <c r="N685" s="47" t="s">
        <v>676</v>
      </c>
      <c r="O685" s="48" t="str">
        <f>IFERROR(_xlfn.XLOOKUP(C685, Data!$A$2:$A$236, Data!$C$2:$C$236), "")</f>
        <v>Mr. Wadud Sir</v>
      </c>
    </row>
    <row r="686" spans="1:15" ht="42" customHeight="1" x14ac:dyDescent="0.35">
      <c r="A686" s="46" t="s">
        <v>733</v>
      </c>
      <c r="B686" s="111" t="s">
        <v>734</v>
      </c>
      <c r="C686" s="44" t="s">
        <v>97</v>
      </c>
      <c r="D686" s="45" t="s">
        <v>208</v>
      </c>
      <c r="E686" s="46" t="s">
        <v>735</v>
      </c>
      <c r="F686" s="33" t="s">
        <v>690</v>
      </c>
      <c r="G686" s="40">
        <v>46043</v>
      </c>
      <c r="H686" s="35">
        <v>13072.5</v>
      </c>
      <c r="I686" s="36"/>
      <c r="J686" s="35">
        <f>SUM(Table1[[#This Row],[LC Value]:[Amd Value]])</f>
        <v>13072.5</v>
      </c>
      <c r="K686" s="36">
        <v>3.05</v>
      </c>
      <c r="L686" s="37">
        <v>4250</v>
      </c>
      <c r="M686" s="47" t="s">
        <v>449</v>
      </c>
      <c r="N686" s="47" t="s">
        <v>736</v>
      </c>
      <c r="O686" s="48" t="str">
        <f>IFERROR(_xlfn.XLOOKUP(C686, Data!$A$2:$A$236, Data!$C$2:$C$236), "")</f>
        <v>Mr. Reza Sir</v>
      </c>
    </row>
    <row r="687" spans="1:15" ht="42" customHeight="1" x14ac:dyDescent="0.35">
      <c r="A687" s="46" t="s">
        <v>730</v>
      </c>
      <c r="B687" s="111" t="s">
        <v>731</v>
      </c>
      <c r="C687" s="44" t="s">
        <v>200</v>
      </c>
      <c r="D687" s="45" t="s">
        <v>98</v>
      </c>
      <c r="E687" s="46" t="s">
        <v>732</v>
      </c>
      <c r="F687" s="33" t="s">
        <v>690</v>
      </c>
      <c r="G687" s="40">
        <v>46049</v>
      </c>
      <c r="H687" s="35">
        <v>38202.5</v>
      </c>
      <c r="I687" s="36"/>
      <c r="J687" s="35">
        <f>SUM(Table1[[#This Row],[LC Value]:[Amd Value]])</f>
        <v>38202.5</v>
      </c>
      <c r="K687" s="36">
        <v>2.95</v>
      </c>
      <c r="L687" s="37">
        <v>12950</v>
      </c>
      <c r="M687" s="47" t="s">
        <v>581</v>
      </c>
      <c r="N687" s="47" t="s">
        <v>614</v>
      </c>
      <c r="O687" s="48" t="str">
        <f>IFERROR(_xlfn.XLOOKUP(C687, Data!$A$2:$A$236, Data!$C$2:$C$236), "")</f>
        <v>MD. Sir</v>
      </c>
    </row>
    <row r="688" spans="1:15" ht="42" customHeight="1" x14ac:dyDescent="0.35">
      <c r="A688" s="46" t="s">
        <v>727</v>
      </c>
      <c r="B688" s="111" t="s">
        <v>728</v>
      </c>
      <c r="C688" s="44" t="s">
        <v>199</v>
      </c>
      <c r="D688" s="45" t="s">
        <v>98</v>
      </c>
      <c r="E688" s="46" t="s">
        <v>729</v>
      </c>
      <c r="F688" s="33" t="s">
        <v>690</v>
      </c>
      <c r="G688" s="40">
        <v>46049</v>
      </c>
      <c r="H688" s="35">
        <v>12615</v>
      </c>
      <c r="I688" s="36"/>
      <c r="J688" s="35">
        <f>SUM(Table1[[#This Row],[LC Value]:[Amd Value]])</f>
        <v>12615</v>
      </c>
      <c r="K688" s="36">
        <v>3.1</v>
      </c>
      <c r="L688" s="37">
        <v>4150</v>
      </c>
      <c r="M688" s="47" t="s">
        <v>581</v>
      </c>
      <c r="N688" s="47" t="s">
        <v>614</v>
      </c>
      <c r="O688" s="48" t="str">
        <f>IFERROR(_xlfn.XLOOKUP(C688, Data!$A$2:$A$236, Data!$C$2:$C$236), "")</f>
        <v>MD. Sir</v>
      </c>
    </row>
    <row r="689" spans="1:15" ht="42" customHeight="1" x14ac:dyDescent="0.35">
      <c r="A689" s="46" t="s">
        <v>724</v>
      </c>
      <c r="B689" s="111" t="s">
        <v>725</v>
      </c>
      <c r="C689" s="44" t="s">
        <v>199</v>
      </c>
      <c r="D689" s="45" t="s">
        <v>98</v>
      </c>
      <c r="E689" s="46" t="s">
        <v>726</v>
      </c>
      <c r="F689" s="33" t="s">
        <v>690</v>
      </c>
      <c r="G689" s="40">
        <v>46041</v>
      </c>
      <c r="H689" s="35">
        <v>6270</v>
      </c>
      <c r="I689" s="36"/>
      <c r="J689" s="35">
        <f>SUM(Table1[[#This Row],[LC Value]:[Amd Value]])</f>
        <v>6270</v>
      </c>
      <c r="K689" s="36">
        <v>3.3</v>
      </c>
      <c r="L689" s="37">
        <v>1900</v>
      </c>
      <c r="M689" s="47" t="s">
        <v>345</v>
      </c>
      <c r="N689" s="47" t="s">
        <v>718</v>
      </c>
      <c r="O689" s="48" t="str">
        <f>IFERROR(_xlfn.XLOOKUP(C689, Data!$A$2:$A$236, Data!$C$2:$C$236), "")</f>
        <v>MD. Sir</v>
      </c>
    </row>
    <row r="690" spans="1:15" ht="42" customHeight="1" x14ac:dyDescent="0.35">
      <c r="A690" s="46" t="s">
        <v>719</v>
      </c>
      <c r="B690" s="111" t="s">
        <v>720</v>
      </c>
      <c r="C690" s="44" t="s">
        <v>199</v>
      </c>
      <c r="D690" s="45" t="s">
        <v>98</v>
      </c>
      <c r="E690" s="46" t="s">
        <v>721</v>
      </c>
      <c r="F690" s="33" t="s">
        <v>690</v>
      </c>
      <c r="G690" s="40">
        <v>46043</v>
      </c>
      <c r="H690" s="35">
        <v>9300</v>
      </c>
      <c r="I690" s="36"/>
      <c r="J690" s="35">
        <f>SUM(Table1[[#This Row],[LC Value]:[Amd Value]])</f>
        <v>9300</v>
      </c>
      <c r="K690" s="36">
        <v>3</v>
      </c>
      <c r="L690" s="37">
        <v>3100</v>
      </c>
      <c r="M690" s="47" t="s">
        <v>723</v>
      </c>
      <c r="N690" s="47" t="s">
        <v>722</v>
      </c>
      <c r="O690" s="48" t="str">
        <f>IFERROR(_xlfn.XLOOKUP(C690, Data!$A$2:$A$236, Data!$C$2:$C$236), "")</f>
        <v>MD. Sir</v>
      </c>
    </row>
    <row r="691" spans="1:15" ht="42" customHeight="1" x14ac:dyDescent="0.35">
      <c r="A691" s="46" t="s">
        <v>715</v>
      </c>
      <c r="B691" s="111" t="s">
        <v>716</v>
      </c>
      <c r="C691" s="44" t="s">
        <v>199</v>
      </c>
      <c r="D691" s="45" t="s">
        <v>98</v>
      </c>
      <c r="E691" s="46" t="s">
        <v>717</v>
      </c>
      <c r="F691" s="33" t="s">
        <v>690</v>
      </c>
      <c r="G691" s="40">
        <v>46056</v>
      </c>
      <c r="H691" s="35">
        <v>30210</v>
      </c>
      <c r="I691" s="36"/>
      <c r="J691" s="35">
        <f>SUM(Table1[[#This Row],[LC Value]:[Amd Value]])</f>
        <v>30210</v>
      </c>
      <c r="K691" s="36">
        <v>3</v>
      </c>
      <c r="L691" s="37">
        <v>9850</v>
      </c>
      <c r="M691" s="47" t="s">
        <v>345</v>
      </c>
      <c r="N691" s="47" t="s">
        <v>718</v>
      </c>
      <c r="O691" s="48" t="str">
        <f>IFERROR(_xlfn.XLOOKUP(C691, Data!$A$2:$A$236, Data!$C$2:$C$236), "")</f>
        <v>MD. Sir</v>
      </c>
    </row>
    <row r="692" spans="1:15" ht="42" customHeight="1" x14ac:dyDescent="0.35">
      <c r="A692" s="46" t="s">
        <v>711</v>
      </c>
      <c r="B692" s="111" t="s">
        <v>712</v>
      </c>
      <c r="C692" s="44" t="s">
        <v>199</v>
      </c>
      <c r="D692" s="45" t="s">
        <v>98</v>
      </c>
      <c r="E692" s="46" t="s">
        <v>713</v>
      </c>
      <c r="F692" s="33" t="s">
        <v>690</v>
      </c>
      <c r="G692" s="40">
        <v>46043</v>
      </c>
      <c r="H692" s="35">
        <v>89775</v>
      </c>
      <c r="I692" s="36">
        <v>33017.5</v>
      </c>
      <c r="J692" s="35">
        <f>SUM(Table1[[#This Row],[LC Value]:[Amd Value]])</f>
        <v>122792.5</v>
      </c>
      <c r="K692" s="36">
        <v>2.7</v>
      </c>
      <c r="L692" s="37">
        <v>33250</v>
      </c>
      <c r="M692" s="47" t="s">
        <v>609</v>
      </c>
      <c r="N692" s="47" t="s">
        <v>714</v>
      </c>
      <c r="O692" s="48" t="str">
        <f>IFERROR(_xlfn.XLOOKUP(C692, Data!$A$2:$A$236, Data!$C$2:$C$236), "")</f>
        <v>MD. Sir</v>
      </c>
    </row>
    <row r="693" spans="1:15" ht="42" customHeight="1" x14ac:dyDescent="0.35">
      <c r="A693" s="46" t="s">
        <v>708</v>
      </c>
      <c r="B693" s="111" t="s">
        <v>709</v>
      </c>
      <c r="C693" s="44" t="s">
        <v>199</v>
      </c>
      <c r="D693" s="45" t="s">
        <v>353</v>
      </c>
      <c r="E693" s="46" t="s">
        <v>710</v>
      </c>
      <c r="F693" s="33" t="s">
        <v>690</v>
      </c>
      <c r="G693" s="40">
        <v>46043</v>
      </c>
      <c r="H693" s="35">
        <v>3570</v>
      </c>
      <c r="I693" s="36">
        <v>138360</v>
      </c>
      <c r="J693" s="35">
        <f>SUM(Table1[[#This Row],[LC Value]:[Amd Value]])</f>
        <v>141930</v>
      </c>
      <c r="K693" s="36">
        <v>3</v>
      </c>
      <c r="L693" s="37">
        <v>1050</v>
      </c>
      <c r="M693" s="47" t="s">
        <v>452</v>
      </c>
      <c r="N693" s="47" t="s">
        <v>676</v>
      </c>
      <c r="O693" s="48" t="str">
        <f>IFERROR(_xlfn.XLOOKUP(C693, Data!$A$2:$A$236, Data!$C$2:$C$236), "")</f>
        <v>MD. Sir</v>
      </c>
    </row>
    <row r="694" spans="1:15" ht="42" customHeight="1" x14ac:dyDescent="0.35">
      <c r="A694" s="46" t="s">
        <v>705</v>
      </c>
      <c r="B694" s="111" t="s">
        <v>706</v>
      </c>
      <c r="C694" s="44" t="s">
        <v>199</v>
      </c>
      <c r="D694" s="45" t="s">
        <v>353</v>
      </c>
      <c r="E694" s="46" t="s">
        <v>707</v>
      </c>
      <c r="F694" s="33" t="s">
        <v>690</v>
      </c>
      <c r="G694" s="40">
        <v>46043</v>
      </c>
      <c r="H694" s="35">
        <f>191100+40015+30590+25537.5+15600+6965</f>
        <v>309807.5</v>
      </c>
      <c r="I694" s="36"/>
      <c r="J694" s="35">
        <f>SUM(Table1[[#This Row],[LC Value]:[Amd Value]])</f>
        <v>309807.5</v>
      </c>
      <c r="K694" s="36">
        <v>3</v>
      </c>
      <c r="L694" s="37">
        <f>63700+40015+13300+11350+6000+2600</f>
        <v>136965</v>
      </c>
      <c r="M694" s="47" t="s">
        <v>452</v>
      </c>
      <c r="N694" s="47" t="s">
        <v>676</v>
      </c>
      <c r="O694" s="48" t="str">
        <f>IFERROR(_xlfn.XLOOKUP(C694, Data!$A$2:$A$236, Data!$C$2:$C$236), "")</f>
        <v>MD. Sir</v>
      </c>
    </row>
    <row r="695" spans="1:15" ht="42" customHeight="1" x14ac:dyDescent="0.35">
      <c r="A695" s="46" t="s">
        <v>702</v>
      </c>
      <c r="B695" s="111" t="s">
        <v>703</v>
      </c>
      <c r="C695" s="44" t="s">
        <v>199</v>
      </c>
      <c r="D695" s="45" t="s">
        <v>353</v>
      </c>
      <c r="E695" s="46" t="s">
        <v>704</v>
      </c>
      <c r="F695" s="33" t="s">
        <v>690</v>
      </c>
      <c r="G695" s="40">
        <v>46043</v>
      </c>
      <c r="H695" s="35">
        <f>164550+14020+7010+2940+5515+19320</f>
        <v>213355</v>
      </c>
      <c r="I695" s="36"/>
      <c r="J695" s="35">
        <f>SUM(Table1[[#This Row],[LC Value]:[Amd Value]])</f>
        <v>213355</v>
      </c>
      <c r="K695" s="36">
        <v>3</v>
      </c>
      <c r="L695" s="37">
        <f>54850+4400+2200+950+2050+8050</f>
        <v>72500</v>
      </c>
      <c r="M695" s="47" t="s">
        <v>452</v>
      </c>
      <c r="N695" s="47" t="s">
        <v>676</v>
      </c>
      <c r="O695" s="48" t="str">
        <f>IFERROR(_xlfn.XLOOKUP(C695, Data!$A$2:$A$236, Data!$C$2:$C$236), "")</f>
        <v>MD. Sir</v>
      </c>
    </row>
    <row r="696" spans="1:15" ht="42" customHeight="1" x14ac:dyDescent="0.35">
      <c r="A696" s="46" t="s">
        <v>699</v>
      </c>
      <c r="B696" s="111" t="s">
        <v>700</v>
      </c>
      <c r="C696" s="44" t="s">
        <v>199</v>
      </c>
      <c r="D696" s="45" t="s">
        <v>353</v>
      </c>
      <c r="E696" s="46" t="s">
        <v>701</v>
      </c>
      <c r="F696" s="33" t="s">
        <v>690</v>
      </c>
      <c r="G696" s="40">
        <v>46041</v>
      </c>
      <c r="H696" s="35">
        <v>47450</v>
      </c>
      <c r="I696" s="36"/>
      <c r="J696" s="35">
        <f>SUM(Table1[[#This Row],[LC Value]:[Amd Value]])</f>
        <v>47450</v>
      </c>
      <c r="K696" s="36">
        <v>3.05</v>
      </c>
      <c r="L696" s="37">
        <v>17700</v>
      </c>
      <c r="M696" s="47" t="s">
        <v>562</v>
      </c>
      <c r="N696" s="47" t="s">
        <v>669</v>
      </c>
      <c r="O696" s="48" t="str">
        <f>IFERROR(_xlfn.XLOOKUP(C696, Data!$A$2:$A$236, Data!$C$2:$C$236), "")</f>
        <v>MD. Sir</v>
      </c>
    </row>
    <row r="697" spans="1:15" ht="42" customHeight="1" x14ac:dyDescent="0.35">
      <c r="A697" s="32" t="s">
        <v>677</v>
      </c>
      <c r="B697" s="111" t="s">
        <v>678</v>
      </c>
      <c r="C697" s="44" t="s">
        <v>199</v>
      </c>
      <c r="D697" s="45" t="s">
        <v>32</v>
      </c>
      <c r="E697" s="46" t="s">
        <v>679</v>
      </c>
      <c r="F697" s="33" t="s">
        <v>661</v>
      </c>
      <c r="G697" s="40">
        <v>46048</v>
      </c>
      <c r="H697" s="35">
        <f>3120+3355+112690+83637.5</f>
        <v>202802.5</v>
      </c>
      <c r="I697" s="36"/>
      <c r="J697" s="35">
        <f>SUM(Table1[[#This Row],[LC Value]:[Amd Value]])</f>
        <v>202802.5</v>
      </c>
      <c r="K697" s="36">
        <v>3</v>
      </c>
      <c r="L697" s="37">
        <f>800+450+1700+1450+27400</f>
        <v>31800</v>
      </c>
      <c r="M697" s="47" t="s">
        <v>452</v>
      </c>
      <c r="N697" s="47" t="s">
        <v>676</v>
      </c>
      <c r="O697" s="48" t="str">
        <f>IFERROR(_xlfn.XLOOKUP(C697, Data!$A$2:$A$236, Data!$C$2:$C$236), "")</f>
        <v>MD. Sir</v>
      </c>
    </row>
    <row r="698" spans="1:15" ht="42" customHeight="1" x14ac:dyDescent="0.35">
      <c r="A698" s="46" t="s">
        <v>671</v>
      </c>
      <c r="B698" s="111" t="s">
        <v>674</v>
      </c>
      <c r="C698" s="44" t="s">
        <v>199</v>
      </c>
      <c r="D698" s="45" t="s">
        <v>32</v>
      </c>
      <c r="E698" s="46" t="s">
        <v>675</v>
      </c>
      <c r="F698" s="33" t="s">
        <v>661</v>
      </c>
      <c r="G698" s="40">
        <v>46048</v>
      </c>
      <c r="H698" s="35">
        <f>2400+1350+5100+4350+63020</f>
        <v>76220</v>
      </c>
      <c r="I698" s="36"/>
      <c r="J698" s="35">
        <f>SUM(Table1[[#This Row],[LC Value]:[Amd Value]])</f>
        <v>76220</v>
      </c>
      <c r="K698" s="36">
        <v>3</v>
      </c>
      <c r="L698" s="37">
        <f>800+450+1700+1450+27400</f>
        <v>31800</v>
      </c>
      <c r="M698" s="47" t="s">
        <v>452</v>
      </c>
      <c r="N698" s="47" t="s">
        <v>676</v>
      </c>
      <c r="O698" s="48" t="str">
        <f>IFERROR(_xlfn.XLOOKUP(C698, Data!$A$2:$A$236, Data!$C$2:$C$236), "")</f>
        <v>MD. Sir</v>
      </c>
    </row>
    <row r="699" spans="1:15" ht="42" customHeight="1" x14ac:dyDescent="0.35">
      <c r="A699" s="46" t="s">
        <v>670</v>
      </c>
      <c r="B699" s="111" t="s">
        <v>672</v>
      </c>
      <c r="C699" s="44" t="s">
        <v>199</v>
      </c>
      <c r="D699" s="45" t="s">
        <v>353</v>
      </c>
      <c r="E699" s="46" t="s">
        <v>673</v>
      </c>
      <c r="F699" s="33">
        <v>46042</v>
      </c>
      <c r="G699" s="40">
        <v>46039</v>
      </c>
      <c r="H699" s="35">
        <v>64000</v>
      </c>
      <c r="I699" s="36"/>
      <c r="J699" s="35">
        <f>SUM(Table1[[#This Row],[LC Value]:[Amd Value]])</f>
        <v>64000</v>
      </c>
      <c r="K699" s="36">
        <v>3.2</v>
      </c>
      <c r="L699" s="37">
        <v>20000</v>
      </c>
      <c r="M699" s="47" t="s">
        <v>562</v>
      </c>
      <c r="N699" s="47" t="s">
        <v>669</v>
      </c>
      <c r="O699" s="48" t="str">
        <f>IFERROR(_xlfn.XLOOKUP(C699, Data!$A$2:$A$236, Data!$C$2:$C$236), "")</f>
        <v>MD. Sir</v>
      </c>
    </row>
    <row r="700" spans="1:15" ht="42" customHeight="1" x14ac:dyDescent="0.35">
      <c r="A700" s="46" t="s">
        <v>666</v>
      </c>
      <c r="B700" s="111" t="s">
        <v>667</v>
      </c>
      <c r="C700" s="44" t="s">
        <v>199</v>
      </c>
      <c r="D700" s="45" t="s">
        <v>98</v>
      </c>
      <c r="E700" s="46" t="s">
        <v>668</v>
      </c>
      <c r="F700" s="33" t="s">
        <v>661</v>
      </c>
      <c r="G700" s="40">
        <v>46039</v>
      </c>
      <c r="H700" s="35">
        <v>13640</v>
      </c>
      <c r="I700" s="36"/>
      <c r="J700" s="35">
        <f>SUM(Table1[[#This Row],[LC Value]:[Amd Value]])</f>
        <v>13640</v>
      </c>
      <c r="K700" s="36">
        <v>3.1</v>
      </c>
      <c r="L700" s="37">
        <v>4400</v>
      </c>
      <c r="M700" s="47" t="s">
        <v>562</v>
      </c>
      <c r="N700" s="47" t="s">
        <v>669</v>
      </c>
      <c r="O700" s="48" t="str">
        <f>IFERROR(_xlfn.XLOOKUP(C700, Data!$A$2:$A$236, Data!$C$2:$C$236), "")</f>
        <v>MD. Sir</v>
      </c>
    </row>
    <row r="701" spans="1:15" ht="42" customHeight="1" x14ac:dyDescent="0.35">
      <c r="A701" s="46" t="s">
        <v>662</v>
      </c>
      <c r="B701" s="111" t="s">
        <v>663</v>
      </c>
      <c r="C701" s="44" t="s">
        <v>199</v>
      </c>
      <c r="D701" s="45" t="s">
        <v>32</v>
      </c>
      <c r="E701" s="46" t="s">
        <v>664</v>
      </c>
      <c r="F701" s="33" t="s">
        <v>661</v>
      </c>
      <c r="G701" s="40">
        <v>46039</v>
      </c>
      <c r="H701" s="35">
        <v>10250</v>
      </c>
      <c r="I701" s="36"/>
      <c r="J701" s="35">
        <f>SUM(Table1[[#This Row],[LC Value]:[Amd Value]])</f>
        <v>10250</v>
      </c>
      <c r="K701" s="36">
        <v>3.1</v>
      </c>
      <c r="L701" s="37">
        <v>3350</v>
      </c>
      <c r="M701" s="47" t="s">
        <v>665</v>
      </c>
      <c r="N701" s="47" t="s">
        <v>600</v>
      </c>
      <c r="O701" s="48" t="str">
        <f>IFERROR(_xlfn.XLOOKUP(C701, Data!$A$2:$A$236, Data!$C$2:$C$236), "")</f>
        <v>MD. Sir</v>
      </c>
    </row>
    <row r="702" spans="1:15" ht="42" customHeight="1" x14ac:dyDescent="0.35">
      <c r="A702" s="46" t="s">
        <v>658</v>
      </c>
      <c r="B702" s="111" t="s">
        <v>659</v>
      </c>
      <c r="C702" s="44" t="s">
        <v>200</v>
      </c>
      <c r="D702" s="45" t="s">
        <v>36</v>
      </c>
      <c r="E702" s="46" t="s">
        <v>660</v>
      </c>
      <c r="F702" s="33" t="s">
        <v>661</v>
      </c>
      <c r="G702" s="40">
        <v>46043</v>
      </c>
      <c r="H702" s="35">
        <v>8100</v>
      </c>
      <c r="I702" s="36"/>
      <c r="J702" s="35">
        <f>SUM(Table1[[#This Row],[LC Value]:[Amd Value]])</f>
        <v>8100</v>
      </c>
      <c r="K702" s="36">
        <v>3.6</v>
      </c>
      <c r="L702" s="37">
        <v>2500</v>
      </c>
      <c r="M702" s="47" t="s">
        <v>394</v>
      </c>
      <c r="N702" s="47" t="s">
        <v>531</v>
      </c>
      <c r="O702" s="48" t="str">
        <f>IFERROR(_xlfn.XLOOKUP(C702, Data!$A$2:$A$236, Data!$C$2:$C$236), "")</f>
        <v>MD. Sir</v>
      </c>
    </row>
    <row r="703" spans="1:15" ht="42" customHeight="1" x14ac:dyDescent="0.35">
      <c r="A703" s="46" t="s">
        <v>655</v>
      </c>
      <c r="B703" s="111" t="s">
        <v>656</v>
      </c>
      <c r="C703" s="44" t="s">
        <v>201</v>
      </c>
      <c r="D703" s="45" t="s">
        <v>21</v>
      </c>
      <c r="E703" s="46" t="s">
        <v>657</v>
      </c>
      <c r="F703" s="34">
        <v>46042</v>
      </c>
      <c r="G703" s="40">
        <v>46037</v>
      </c>
      <c r="H703" s="35">
        <f>31000+31000+46200+76250+45750+49500</f>
        <v>279700</v>
      </c>
      <c r="I703" s="36"/>
      <c r="J703" s="35">
        <f>SUM(Table1[[#This Row],[LC Value]:[Amd Value]])</f>
        <v>279700</v>
      </c>
      <c r="K703" s="36">
        <v>3.1</v>
      </c>
      <c r="L703" s="37">
        <v>80000</v>
      </c>
      <c r="M703" s="47" t="s">
        <v>416</v>
      </c>
      <c r="N703" s="47" t="s">
        <v>449</v>
      </c>
      <c r="O703" s="48" t="str">
        <f>IFERROR(_xlfn.XLOOKUP(C703, Data!$A$2:$A$236, Data!$C$2:$C$236), "")</f>
        <v>Director Sir</v>
      </c>
    </row>
    <row r="704" spans="1:15" ht="42" customHeight="1" x14ac:dyDescent="0.35">
      <c r="A704" s="46" t="s">
        <v>650</v>
      </c>
      <c r="B704" s="111" t="s">
        <v>651</v>
      </c>
      <c r="C704" s="44" t="s">
        <v>649</v>
      </c>
      <c r="D704" s="45" t="s">
        <v>21</v>
      </c>
      <c r="E704" s="46" t="s">
        <v>652</v>
      </c>
      <c r="F704" s="33" t="s">
        <v>653</v>
      </c>
      <c r="G704" s="40">
        <v>46047</v>
      </c>
      <c r="H704" s="35">
        <v>239700</v>
      </c>
      <c r="I704" s="36"/>
      <c r="J704" s="35">
        <f>SUM(Table1[[#This Row],[LC Value]:[Amd Value]])</f>
        <v>239700</v>
      </c>
      <c r="K704" s="36">
        <v>2.9</v>
      </c>
      <c r="L704" s="37">
        <v>55000</v>
      </c>
      <c r="M704" s="47" t="s">
        <v>356</v>
      </c>
      <c r="N704" s="47" t="s">
        <v>654</v>
      </c>
      <c r="O704" s="48" t="str">
        <f>IFERROR(_xlfn.XLOOKUP(C704, Data!$A$2:$A$236, Data!$C$2:$C$236), "")</f>
        <v>Mr. Lipu Sir</v>
      </c>
    </row>
    <row r="705" spans="1:15" ht="42" customHeight="1" x14ac:dyDescent="0.35">
      <c r="A705" s="46" t="s">
        <v>645</v>
      </c>
      <c r="B705" s="111" t="s">
        <v>646</v>
      </c>
      <c r="C705" s="44" t="s">
        <v>184</v>
      </c>
      <c r="D705" s="45" t="s">
        <v>89</v>
      </c>
      <c r="E705" s="46" t="s">
        <v>647</v>
      </c>
      <c r="F705" s="33" t="s">
        <v>561</v>
      </c>
      <c r="G705" s="40">
        <v>46040</v>
      </c>
      <c r="H705" s="35">
        <v>5855</v>
      </c>
      <c r="I705" s="36"/>
      <c r="J705" s="35">
        <f>SUM(Table1[[#This Row],[LC Value]:[Amd Value]])</f>
        <v>5855</v>
      </c>
      <c r="K705" s="36">
        <v>2.9</v>
      </c>
      <c r="L705" s="37">
        <v>2000</v>
      </c>
      <c r="M705" s="47" t="s">
        <v>344</v>
      </c>
      <c r="N705" s="47" t="s">
        <v>361</v>
      </c>
      <c r="O705" s="48" t="str">
        <f>IFERROR(_xlfn.XLOOKUP(C705, Data!$A$2:$A$236, Data!$C$2:$C$236), "")</f>
        <v>Mr. Amran Sir</v>
      </c>
    </row>
    <row r="706" spans="1:15" ht="42" customHeight="1" x14ac:dyDescent="0.35">
      <c r="A706" s="46" t="s">
        <v>642</v>
      </c>
      <c r="B706" s="111" t="s">
        <v>643</v>
      </c>
      <c r="C706" s="44" t="s">
        <v>200</v>
      </c>
      <c r="D706" s="45" t="s">
        <v>32</v>
      </c>
      <c r="E706" s="46" t="s">
        <v>644</v>
      </c>
      <c r="F706" s="33" t="s">
        <v>561</v>
      </c>
      <c r="G706" s="40">
        <v>46042</v>
      </c>
      <c r="H706" s="35">
        <v>258047.5</v>
      </c>
      <c r="I706" s="36"/>
      <c r="J706" s="35">
        <f>SUM(Table1[[#This Row],[LC Value]:[Amd Value]])</f>
        <v>258047.5</v>
      </c>
      <c r="K706" s="36">
        <v>2.8</v>
      </c>
      <c r="L706" s="37">
        <v>102400</v>
      </c>
      <c r="M706" s="47" t="s">
        <v>581</v>
      </c>
      <c r="N706" s="47" t="s">
        <v>614</v>
      </c>
      <c r="O706" s="48" t="str">
        <f>IFERROR(_xlfn.XLOOKUP(C706, Data!$A$2:$A$236, Data!$C$2:$C$236), "")</f>
        <v>MD. Sir</v>
      </c>
    </row>
    <row r="707" spans="1:15" ht="42" customHeight="1" x14ac:dyDescent="0.35">
      <c r="A707" s="46" t="s">
        <v>639</v>
      </c>
      <c r="B707" s="111" t="s">
        <v>640</v>
      </c>
      <c r="C707" s="44" t="s">
        <v>200</v>
      </c>
      <c r="D707" s="45" t="s">
        <v>32</v>
      </c>
      <c r="E707" s="46" t="s">
        <v>641</v>
      </c>
      <c r="F707" s="33" t="s">
        <v>561</v>
      </c>
      <c r="G707" s="40">
        <v>46042</v>
      </c>
      <c r="H707" s="35">
        <v>14625</v>
      </c>
      <c r="I707" s="36"/>
      <c r="J707" s="35">
        <f>SUM(Table1[[#This Row],[LC Value]:[Amd Value]])</f>
        <v>14625</v>
      </c>
      <c r="K707" s="36">
        <v>2.8</v>
      </c>
      <c r="L707" s="37">
        <v>1950</v>
      </c>
      <c r="M707" s="47" t="s">
        <v>394</v>
      </c>
      <c r="N707" s="47" t="s">
        <v>531</v>
      </c>
      <c r="O707" s="48" t="str">
        <f>IFERROR(_xlfn.XLOOKUP(C707, Data!$A$2:$A$236, Data!$C$2:$C$236), "")</f>
        <v>MD. Sir</v>
      </c>
    </row>
    <row r="708" spans="1:15" ht="42" customHeight="1" x14ac:dyDescent="0.35">
      <c r="A708" s="46" t="s">
        <v>636</v>
      </c>
      <c r="B708" s="111" t="s">
        <v>637</v>
      </c>
      <c r="C708" s="44" t="s">
        <v>200</v>
      </c>
      <c r="D708" s="45" t="s">
        <v>98</v>
      </c>
      <c r="E708" s="46" t="s">
        <v>638</v>
      </c>
      <c r="F708" s="33" t="s">
        <v>561</v>
      </c>
      <c r="G708" s="40">
        <v>46042</v>
      </c>
      <c r="H708" s="35">
        <v>32900</v>
      </c>
      <c r="I708" s="36"/>
      <c r="J708" s="35">
        <f>SUM(Table1[[#This Row],[LC Value]:[Amd Value]])</f>
        <v>32900</v>
      </c>
      <c r="K708" s="36">
        <v>2.8</v>
      </c>
      <c r="L708" s="37">
        <v>11750</v>
      </c>
      <c r="M708" s="47" t="s">
        <v>394</v>
      </c>
      <c r="N708" s="47" t="s">
        <v>531</v>
      </c>
      <c r="O708" s="48" t="str">
        <f>IFERROR(_xlfn.XLOOKUP(C708, Data!$A$2:$A$236, Data!$C$2:$C$236), "")</f>
        <v>MD. Sir</v>
      </c>
    </row>
    <row r="709" spans="1:15" ht="42" customHeight="1" x14ac:dyDescent="0.35">
      <c r="A709" s="46" t="s">
        <v>633</v>
      </c>
      <c r="B709" s="111" t="s">
        <v>634</v>
      </c>
      <c r="C709" s="44" t="s">
        <v>200</v>
      </c>
      <c r="D709" s="45" t="s">
        <v>98</v>
      </c>
      <c r="E709" s="46" t="s">
        <v>635</v>
      </c>
      <c r="F709" s="33" t="s">
        <v>561</v>
      </c>
      <c r="G709" s="40">
        <v>46042</v>
      </c>
      <c r="H709" s="35">
        <v>10620</v>
      </c>
      <c r="I709" s="36"/>
      <c r="J709" s="35">
        <f>SUM(Table1[[#This Row],[LC Value]:[Amd Value]])</f>
        <v>10620</v>
      </c>
      <c r="K709" s="36">
        <v>3.6</v>
      </c>
      <c r="L709" s="37">
        <v>2950</v>
      </c>
      <c r="M709" s="47" t="s">
        <v>394</v>
      </c>
      <c r="N709" s="47" t="s">
        <v>531</v>
      </c>
      <c r="O709" s="48" t="str">
        <f>IFERROR(_xlfn.XLOOKUP(C709, Data!$A$2:$A$236, Data!$C$2:$C$236), "")</f>
        <v>MD. Sir</v>
      </c>
    </row>
    <row r="710" spans="1:15" ht="42" customHeight="1" x14ac:dyDescent="0.35">
      <c r="A710" s="46" t="s">
        <v>622</v>
      </c>
      <c r="B710" s="111" t="s">
        <v>623</v>
      </c>
      <c r="C710" s="44" t="s">
        <v>138</v>
      </c>
      <c r="D710" s="45" t="s">
        <v>421</v>
      </c>
      <c r="E710" s="46" t="s">
        <v>624</v>
      </c>
      <c r="F710" s="33" t="s">
        <v>561</v>
      </c>
      <c r="G710" s="40">
        <v>46036</v>
      </c>
      <c r="H710" s="35">
        <v>171000</v>
      </c>
      <c r="I710" s="36"/>
      <c r="J710" s="35">
        <f>SUM(Table1[[#This Row],[LC Value]:[Amd Value]])</f>
        <v>171000</v>
      </c>
      <c r="K710" s="36">
        <v>3.42</v>
      </c>
      <c r="L710" s="37">
        <v>50000</v>
      </c>
      <c r="M710" s="47" t="s">
        <v>417</v>
      </c>
      <c r="N710" s="47" t="s">
        <v>452</v>
      </c>
      <c r="O710" s="48" t="str">
        <f>IFERROR(_xlfn.XLOOKUP(C710, Data!$A$2:$A$236, Data!$C$2:$C$236), "")</f>
        <v>Mr. Amran Sir</v>
      </c>
    </row>
    <row r="711" spans="1:15" ht="42" customHeight="1" x14ac:dyDescent="0.35">
      <c r="A711" s="46" t="s">
        <v>619</v>
      </c>
      <c r="B711" s="111" t="s">
        <v>620</v>
      </c>
      <c r="C711" s="44" t="s">
        <v>138</v>
      </c>
      <c r="D711" s="45" t="s">
        <v>421</v>
      </c>
      <c r="E711" s="46" t="s">
        <v>621</v>
      </c>
      <c r="F711" s="33" t="s">
        <v>561</v>
      </c>
      <c r="G711" s="40">
        <v>46036</v>
      </c>
      <c r="H711" s="35">
        <v>171000</v>
      </c>
      <c r="I711" s="36"/>
      <c r="J711" s="35">
        <f>SUM(Table1[[#This Row],[LC Value]:[Amd Value]])</f>
        <v>171000</v>
      </c>
      <c r="K711" s="36">
        <v>3.42</v>
      </c>
      <c r="L711" s="37">
        <v>50000</v>
      </c>
      <c r="M711" s="47" t="s">
        <v>417</v>
      </c>
      <c r="N711" s="47" t="s">
        <v>452</v>
      </c>
      <c r="O711" s="48" t="str">
        <f>IFERROR(_xlfn.XLOOKUP(C711, Data!$A$2:$A$236, Data!$C$2:$C$236), "")</f>
        <v>Mr. Amran Sir</v>
      </c>
    </row>
    <row r="712" spans="1:15" ht="42" customHeight="1" x14ac:dyDescent="0.35">
      <c r="A712" s="46" t="s">
        <v>615</v>
      </c>
      <c r="B712" s="111" t="s">
        <v>616</v>
      </c>
      <c r="C712" s="44" t="s">
        <v>169</v>
      </c>
      <c r="D712" s="45" t="s">
        <v>21</v>
      </c>
      <c r="E712" s="46" t="s">
        <v>617</v>
      </c>
      <c r="F712" s="33" t="s">
        <v>561</v>
      </c>
      <c r="G712" s="40">
        <v>46036</v>
      </c>
      <c r="H712" s="35">
        <v>24967.5</v>
      </c>
      <c r="I712" s="36"/>
      <c r="J712" s="35">
        <f>SUM(Table1[[#This Row],[LC Value]:[Amd Value]])</f>
        <v>24967.5</v>
      </c>
      <c r="K712" s="36">
        <v>3.35</v>
      </c>
      <c r="L712" s="37">
        <v>6550</v>
      </c>
      <c r="M712" s="47" t="s">
        <v>452</v>
      </c>
      <c r="N712" s="47" t="s">
        <v>618</v>
      </c>
      <c r="O712" s="48" t="str">
        <f>IFERROR(_xlfn.XLOOKUP(C712, Data!$A$2:$A$236, Data!$C$2:$C$236), "")</f>
        <v>Mr. Lipu Sir</v>
      </c>
    </row>
    <row r="713" spans="1:15" ht="42" customHeight="1" x14ac:dyDescent="0.35">
      <c r="A713" s="46" t="s">
        <v>610</v>
      </c>
      <c r="B713" s="111" t="s">
        <v>611</v>
      </c>
      <c r="C713" s="44" t="s">
        <v>200</v>
      </c>
      <c r="D713" s="45" t="s">
        <v>98</v>
      </c>
      <c r="E713" s="46" t="s">
        <v>612</v>
      </c>
      <c r="F713" s="33" t="s">
        <v>613</v>
      </c>
      <c r="G713" s="40">
        <v>46036</v>
      </c>
      <c r="H713" s="35">
        <f>126850+180900</f>
        <v>307750</v>
      </c>
      <c r="I713" s="36"/>
      <c r="J713" s="35">
        <f>SUM(Table1[[#This Row],[LC Value]:[Amd Value]])</f>
        <v>307750</v>
      </c>
      <c r="K713" s="36">
        <v>3.4</v>
      </c>
      <c r="L713" s="37">
        <v>103300</v>
      </c>
      <c r="M713" s="47" t="s">
        <v>581</v>
      </c>
      <c r="N713" s="47" t="s">
        <v>614</v>
      </c>
      <c r="O713" s="48" t="str">
        <f>IFERROR(_xlfn.XLOOKUP(C713, Data!$A$2:$A$236, Data!$C$2:$C$236), "")</f>
        <v>MD. Sir</v>
      </c>
    </row>
    <row r="714" spans="1:15" ht="42" customHeight="1" x14ac:dyDescent="0.35">
      <c r="A714" s="46" t="s">
        <v>605</v>
      </c>
      <c r="B714" s="111" t="s">
        <v>606</v>
      </c>
      <c r="C714" s="44" t="s">
        <v>196</v>
      </c>
      <c r="D714" s="45" t="s">
        <v>98</v>
      </c>
      <c r="E714" s="46" t="s">
        <v>607</v>
      </c>
      <c r="F714" s="33" t="s">
        <v>608</v>
      </c>
      <c r="G714" s="40">
        <v>46042</v>
      </c>
      <c r="H714" s="35">
        <v>54662.95</v>
      </c>
      <c r="I714" s="36">
        <v>15710</v>
      </c>
      <c r="J714" s="35">
        <f>SUM(Table1[[#This Row],[LC Value]:[Amd Value]])</f>
        <v>70372.95</v>
      </c>
      <c r="K714" s="36">
        <v>3.3</v>
      </c>
      <c r="L714" s="37">
        <v>16377</v>
      </c>
      <c r="M714" s="47" t="s">
        <v>360</v>
      </c>
      <c r="N714" s="47" t="s">
        <v>609</v>
      </c>
      <c r="O714" s="48" t="str">
        <f>IFERROR(_xlfn.XLOOKUP(C714, Data!$A$2:$A$236, Data!$C$2:$C$236), "")</f>
        <v>Mr. Reza Sir</v>
      </c>
    </row>
    <row r="715" spans="1:15" ht="42" customHeight="1" x14ac:dyDescent="0.35">
      <c r="A715" s="46" t="s">
        <v>585</v>
      </c>
      <c r="B715" s="111" t="s">
        <v>586</v>
      </c>
      <c r="C715" s="44" t="s">
        <v>138</v>
      </c>
      <c r="D715" s="45" t="s">
        <v>139</v>
      </c>
      <c r="E715" s="46" t="s">
        <v>587</v>
      </c>
      <c r="F715" s="33" t="s">
        <v>522</v>
      </c>
      <c r="G715" s="40">
        <v>46034</v>
      </c>
      <c r="H715" s="35">
        <v>45750</v>
      </c>
      <c r="I715" s="36"/>
      <c r="J715" s="35">
        <f>SUM(Table1[[#This Row],[LC Value]:[Amd Value]])</f>
        <v>45750</v>
      </c>
      <c r="K715" s="36">
        <v>3.05</v>
      </c>
      <c r="L715" s="37">
        <v>15000</v>
      </c>
      <c r="M715" s="47" t="s">
        <v>417</v>
      </c>
      <c r="N715" s="47" t="s">
        <v>440</v>
      </c>
      <c r="O715" s="48" t="str">
        <f>IFERROR(_xlfn.XLOOKUP(C715, Data!$A$2:$A$236, Data!$C$2:$C$236), "")</f>
        <v>Mr. Amran Sir</v>
      </c>
    </row>
    <row r="716" spans="1:15" ht="42" customHeight="1" x14ac:dyDescent="0.35">
      <c r="A716" s="46" t="s">
        <v>578</v>
      </c>
      <c r="B716" s="111" t="s">
        <v>579</v>
      </c>
      <c r="C716" s="44" t="s">
        <v>201</v>
      </c>
      <c r="D716" s="45" t="s">
        <v>21</v>
      </c>
      <c r="E716" s="46" t="s">
        <v>580</v>
      </c>
      <c r="F716" s="33" t="s">
        <v>561</v>
      </c>
      <c r="G716" s="40">
        <v>46036</v>
      </c>
      <c r="H716" s="35">
        <v>67202.5</v>
      </c>
      <c r="I716" s="36"/>
      <c r="J716" s="35">
        <f>SUM(Table1[[#This Row],[LC Value]:[Amd Value]])</f>
        <v>67202.5</v>
      </c>
      <c r="K716" s="36">
        <v>3.48</v>
      </c>
      <c r="L716" s="37">
        <v>19250</v>
      </c>
      <c r="M716" s="47" t="s">
        <v>394</v>
      </c>
      <c r="N716" s="47" t="s">
        <v>581</v>
      </c>
      <c r="O716" s="48" t="str">
        <f>IFERROR(_xlfn.XLOOKUP(C716, Data!$A$2:$A$236, Data!$C$2:$C$236), "")</f>
        <v>Director Sir</v>
      </c>
    </row>
    <row r="717" spans="1:15" ht="42" customHeight="1" x14ac:dyDescent="0.35">
      <c r="A717" s="46" t="s">
        <v>576</v>
      </c>
      <c r="B717" s="111" t="s">
        <v>573</v>
      </c>
      <c r="C717" s="44" t="s">
        <v>199</v>
      </c>
      <c r="D717" s="45" t="s">
        <v>32</v>
      </c>
      <c r="E717" s="46" t="s">
        <v>574</v>
      </c>
      <c r="F717" s="33" t="s">
        <v>561</v>
      </c>
      <c r="G717" s="40">
        <v>46036</v>
      </c>
      <c r="H717" s="35">
        <v>24990</v>
      </c>
      <c r="I717" s="36"/>
      <c r="J717" s="35">
        <f>SUM(Table1[[#This Row],[LC Value]:[Amd Value]])</f>
        <v>24990</v>
      </c>
      <c r="K717" s="36">
        <v>3.4</v>
      </c>
      <c r="L717" s="37">
        <v>7350</v>
      </c>
      <c r="M717" s="47" t="s">
        <v>441</v>
      </c>
      <c r="N717" s="47" t="s">
        <v>577</v>
      </c>
      <c r="O717" s="48" t="str">
        <f>IFERROR(_xlfn.XLOOKUP(C717, Data!$A$2:$A$236, Data!$C$2:$C$236), "")</f>
        <v>MD. Sir</v>
      </c>
    </row>
    <row r="718" spans="1:15" ht="42" customHeight="1" x14ac:dyDescent="0.35">
      <c r="A718" s="46" t="s">
        <v>575</v>
      </c>
      <c r="B718" s="111" t="s">
        <v>571</v>
      </c>
      <c r="C718" s="44" t="s">
        <v>200</v>
      </c>
      <c r="D718" s="45" t="s">
        <v>79</v>
      </c>
      <c r="E718" s="46" t="s">
        <v>572</v>
      </c>
      <c r="F718" s="33" t="s">
        <v>561</v>
      </c>
      <c r="G718" s="40">
        <v>46036</v>
      </c>
      <c r="H718" s="35">
        <v>71280</v>
      </c>
      <c r="I718" s="36"/>
      <c r="J718" s="35">
        <f>SUM(Table1[[#This Row],[LC Value]:[Amd Value]])</f>
        <v>71280</v>
      </c>
      <c r="K718" s="36">
        <v>2.4</v>
      </c>
      <c r="L718" s="37">
        <v>29700</v>
      </c>
      <c r="M718" s="47" t="s">
        <v>441</v>
      </c>
      <c r="N718" s="47" t="s">
        <v>577</v>
      </c>
      <c r="O718" s="48" t="str">
        <f>IFERROR(_xlfn.XLOOKUP(C718, Data!$A$2:$A$236, Data!$C$2:$C$236), "")</f>
        <v>MD. Sir</v>
      </c>
    </row>
    <row r="719" spans="1:15" ht="42" customHeight="1" x14ac:dyDescent="0.35">
      <c r="A719" s="46" t="s">
        <v>555</v>
      </c>
      <c r="B719" s="111" t="s">
        <v>557</v>
      </c>
      <c r="C719" s="44" t="s">
        <v>200</v>
      </c>
      <c r="D719" s="45" t="s">
        <v>98</v>
      </c>
      <c r="E719" s="46" t="s">
        <v>558</v>
      </c>
      <c r="F719" s="33" t="s">
        <v>522</v>
      </c>
      <c r="G719" s="40">
        <v>46033</v>
      </c>
      <c r="H719" s="35">
        <f>31500+21855</f>
        <v>53355</v>
      </c>
      <c r="I719" s="36"/>
      <c r="J719" s="35">
        <f>SUM(Table1[[#This Row],[LC Value]:[Amd Value]])</f>
        <v>53355</v>
      </c>
      <c r="K719" s="36">
        <v>3.4</v>
      </c>
      <c r="L719" s="37">
        <v>19300</v>
      </c>
      <c r="M719" s="47" t="s">
        <v>394</v>
      </c>
      <c r="N719" s="47" t="s">
        <v>531</v>
      </c>
      <c r="O719" s="48" t="str">
        <f>IFERROR(_xlfn.XLOOKUP(C719, Data!$A$2:$A$236, Data!$C$2:$C$236), "")</f>
        <v>MD. Sir</v>
      </c>
    </row>
    <row r="720" spans="1:15" ht="42" customHeight="1" x14ac:dyDescent="0.35">
      <c r="A720" s="46" t="s">
        <v>553</v>
      </c>
      <c r="B720" s="111" t="s">
        <v>556</v>
      </c>
      <c r="C720" s="44" t="s">
        <v>199</v>
      </c>
      <c r="D720" s="45" t="s">
        <v>32</v>
      </c>
      <c r="E720" s="46" t="s">
        <v>554</v>
      </c>
      <c r="F720" s="33" t="s">
        <v>522</v>
      </c>
      <c r="G720" s="40">
        <v>46035</v>
      </c>
      <c r="H720" s="35">
        <f>54900+23710+28657.5+31337.5+9592.5</f>
        <v>148197.5</v>
      </c>
      <c r="I720" s="36"/>
      <c r="J720" s="35">
        <f>SUM(Table1[[#This Row],[LC Value]:[Amd Value]])</f>
        <v>148197.5</v>
      </c>
      <c r="K720" s="36">
        <v>3.4</v>
      </c>
      <c r="L720" s="37">
        <v>7750</v>
      </c>
      <c r="M720" s="47" t="s">
        <v>394</v>
      </c>
      <c r="N720" s="47" t="s">
        <v>531</v>
      </c>
      <c r="O720" s="48" t="str">
        <f>IFERROR(_xlfn.XLOOKUP(C720, Data!$A$2:$A$236, Data!$C$2:$C$236), "")</f>
        <v>MD. Sir</v>
      </c>
    </row>
    <row r="721" spans="1:15" ht="42" customHeight="1" x14ac:dyDescent="0.35">
      <c r="A721" s="46" t="s">
        <v>550</v>
      </c>
      <c r="B721" s="111" t="s">
        <v>551</v>
      </c>
      <c r="C721" s="44" t="s">
        <v>199</v>
      </c>
      <c r="D721" s="45" t="s">
        <v>32</v>
      </c>
      <c r="E721" s="46" t="s">
        <v>552</v>
      </c>
      <c r="F721" s="33" t="s">
        <v>522</v>
      </c>
      <c r="G721" s="40">
        <v>46035</v>
      </c>
      <c r="H721" s="35">
        <f>17825+1857.5+30590+9512.5+19780</f>
        <v>79565</v>
      </c>
      <c r="I721" s="36"/>
      <c r="J721" s="35">
        <f>SUM(Table1[[#This Row],[LC Value]:[Amd Value]])</f>
        <v>79565</v>
      </c>
      <c r="K721" s="36">
        <v>3.4</v>
      </c>
      <c r="L721" s="37">
        <v>7750</v>
      </c>
      <c r="M721" s="47" t="s">
        <v>394</v>
      </c>
      <c r="N721" s="47" t="s">
        <v>531</v>
      </c>
      <c r="O721" s="48" t="str">
        <f>IFERROR(_xlfn.XLOOKUP(C721, Data!$A$2:$A$236, Data!$C$2:$C$236), "")</f>
        <v>MD. Sir</v>
      </c>
    </row>
    <row r="722" spans="1:15" ht="42" customHeight="1" x14ac:dyDescent="0.35">
      <c r="A722" s="46" t="s">
        <v>547</v>
      </c>
      <c r="B722" s="111" t="s">
        <v>548</v>
      </c>
      <c r="C722" s="44" t="s">
        <v>199</v>
      </c>
      <c r="D722" s="45" t="s">
        <v>98</v>
      </c>
      <c r="E722" s="46" t="s">
        <v>549</v>
      </c>
      <c r="F722" s="33" t="s">
        <v>522</v>
      </c>
      <c r="G722" s="40">
        <v>46035</v>
      </c>
      <c r="H722" s="35">
        <f>7740+14855+39575+3278</f>
        <v>65448</v>
      </c>
      <c r="I722" s="36"/>
      <c r="J722" s="35">
        <f>SUM(Table1[[#This Row],[LC Value]:[Amd Value]])</f>
        <v>65448</v>
      </c>
      <c r="K722" s="36">
        <v>3.4</v>
      </c>
      <c r="L722" s="37">
        <v>2400</v>
      </c>
      <c r="M722" s="47" t="s">
        <v>394</v>
      </c>
      <c r="N722" s="47" t="s">
        <v>531</v>
      </c>
      <c r="O722" s="48" t="str">
        <f>IFERROR(_xlfn.XLOOKUP(C722, Data!$A$2:$A$236, Data!$C$2:$C$236), "")</f>
        <v>MD. Sir</v>
      </c>
    </row>
    <row r="723" spans="1:15" ht="42" customHeight="1" x14ac:dyDescent="0.35">
      <c r="A723" s="46" t="s">
        <v>544</v>
      </c>
      <c r="B723" s="111" t="s">
        <v>545</v>
      </c>
      <c r="C723" s="44" t="s">
        <v>199</v>
      </c>
      <c r="D723" s="45" t="s">
        <v>98</v>
      </c>
      <c r="E723" s="46" t="s">
        <v>546</v>
      </c>
      <c r="F723" s="33" t="s">
        <v>522</v>
      </c>
      <c r="G723" s="40">
        <v>46035</v>
      </c>
      <c r="H723" s="35">
        <f>38250+13940+8400+3000</f>
        <v>63590</v>
      </c>
      <c r="I723" s="36"/>
      <c r="J723" s="35">
        <f>SUM(Table1[[#This Row],[LC Value]:[Amd Value]])</f>
        <v>63590</v>
      </c>
      <c r="K723" s="36">
        <v>3.4</v>
      </c>
      <c r="L723" s="37">
        <v>9400</v>
      </c>
      <c r="M723" s="47" t="s">
        <v>394</v>
      </c>
      <c r="N723" s="47" t="s">
        <v>531</v>
      </c>
      <c r="O723" s="48" t="str">
        <f>IFERROR(_xlfn.XLOOKUP(C723, Data!$A$2:$A$236, Data!$C$2:$C$236), "")</f>
        <v>MD. Sir</v>
      </c>
    </row>
    <row r="724" spans="1:15" ht="42" customHeight="1" x14ac:dyDescent="0.35">
      <c r="A724" s="46" t="s">
        <v>541</v>
      </c>
      <c r="B724" s="111" t="s">
        <v>542</v>
      </c>
      <c r="C724" s="44" t="s">
        <v>199</v>
      </c>
      <c r="D724" s="45" t="s">
        <v>98</v>
      </c>
      <c r="E724" s="46" t="s">
        <v>543</v>
      </c>
      <c r="F724" s="33" t="s">
        <v>522</v>
      </c>
      <c r="G724" s="40">
        <v>46035</v>
      </c>
      <c r="H724" s="35">
        <v>32430</v>
      </c>
      <c r="I724" s="36"/>
      <c r="J724" s="35">
        <f>SUM(Table1[[#This Row],[LC Value]:[Amd Value]])</f>
        <v>32430</v>
      </c>
      <c r="K724" s="36">
        <v>3.4</v>
      </c>
      <c r="L724" s="37">
        <v>9400</v>
      </c>
      <c r="M724" s="47" t="s">
        <v>394</v>
      </c>
      <c r="N724" s="47" t="s">
        <v>531</v>
      </c>
      <c r="O724" s="48" t="str">
        <f>IFERROR(_xlfn.XLOOKUP(C724, Data!$A$2:$A$236, Data!$C$2:$C$236), "")</f>
        <v>MD. Sir</v>
      </c>
    </row>
    <row r="725" spans="1:15" ht="42" customHeight="1" x14ac:dyDescent="0.35">
      <c r="A725" s="46" t="s">
        <v>538</v>
      </c>
      <c r="B725" s="111" t="s">
        <v>539</v>
      </c>
      <c r="C725" s="44" t="s">
        <v>199</v>
      </c>
      <c r="D725" s="45" t="s">
        <v>353</v>
      </c>
      <c r="E725" s="46" t="s">
        <v>540</v>
      </c>
      <c r="F725" s="33" t="s">
        <v>522</v>
      </c>
      <c r="G725" s="40">
        <v>46035</v>
      </c>
      <c r="H725" s="35">
        <v>17612.5</v>
      </c>
      <c r="I725" s="36"/>
      <c r="J725" s="35">
        <f>SUM(Table1[[#This Row],[LC Value]:[Amd Value]])</f>
        <v>17612.5</v>
      </c>
      <c r="K725" s="36">
        <v>3.45</v>
      </c>
      <c r="L725" s="37">
        <v>5150</v>
      </c>
      <c r="M725" s="47" t="s">
        <v>394</v>
      </c>
      <c r="N725" s="47" t="s">
        <v>531</v>
      </c>
      <c r="O725" s="48" t="str">
        <f>IFERROR(_xlfn.XLOOKUP(C725, Data!$A$2:$A$236, Data!$C$2:$C$236), "")</f>
        <v>MD. Sir</v>
      </c>
    </row>
    <row r="726" spans="1:15" ht="42" customHeight="1" x14ac:dyDescent="0.35">
      <c r="A726" s="46" t="s">
        <v>535</v>
      </c>
      <c r="B726" s="111" t="s">
        <v>536</v>
      </c>
      <c r="C726" s="44" t="s">
        <v>199</v>
      </c>
      <c r="D726" s="45" t="s">
        <v>32</v>
      </c>
      <c r="E726" s="46" t="s">
        <v>537</v>
      </c>
      <c r="F726" s="33" t="s">
        <v>522</v>
      </c>
      <c r="G726" s="40">
        <v>46035</v>
      </c>
      <c r="H726" s="35">
        <v>9420</v>
      </c>
      <c r="I726" s="36"/>
      <c r="J726" s="35">
        <f>SUM(Table1[[#This Row],[LC Value]:[Amd Value]])</f>
        <v>9420</v>
      </c>
      <c r="K726" s="36">
        <v>3.4</v>
      </c>
      <c r="L726" s="37">
        <v>3650</v>
      </c>
      <c r="M726" s="47" t="s">
        <v>394</v>
      </c>
      <c r="N726" s="47" t="s">
        <v>531</v>
      </c>
      <c r="O726" s="48" t="str">
        <f>IFERROR(_xlfn.XLOOKUP(C726, Data!$A$2:$A$236, Data!$C$2:$C$236), "")</f>
        <v>MD. Sir</v>
      </c>
    </row>
    <row r="727" spans="1:15" ht="42" customHeight="1" x14ac:dyDescent="0.35">
      <c r="A727" s="46" t="s">
        <v>532</v>
      </c>
      <c r="B727" s="111" t="s">
        <v>533</v>
      </c>
      <c r="C727" s="44" t="s">
        <v>199</v>
      </c>
      <c r="D727" s="45" t="s">
        <v>353</v>
      </c>
      <c r="E727" s="46" t="s">
        <v>534</v>
      </c>
      <c r="F727" s="33" t="s">
        <v>522</v>
      </c>
      <c r="G727" s="40">
        <v>46035</v>
      </c>
      <c r="H727" s="35">
        <v>8230</v>
      </c>
      <c r="I727" s="36"/>
      <c r="J727" s="35">
        <f>SUM(Table1[[#This Row],[LC Value]:[Amd Value]])</f>
        <v>8230</v>
      </c>
      <c r="K727" s="36">
        <v>2.9</v>
      </c>
      <c r="L727" s="37">
        <v>2800</v>
      </c>
      <c r="M727" s="47" t="s">
        <v>394</v>
      </c>
      <c r="N727" s="47" t="s">
        <v>531</v>
      </c>
      <c r="O727" s="48" t="str">
        <f>IFERROR(_xlfn.XLOOKUP(C727, Data!$A$2:$A$236, Data!$C$2:$C$236), "")</f>
        <v>MD. Sir</v>
      </c>
    </row>
    <row r="728" spans="1:15" ht="42" customHeight="1" x14ac:dyDescent="0.35">
      <c r="A728" s="46" t="s">
        <v>528</v>
      </c>
      <c r="B728" s="111" t="s">
        <v>529</v>
      </c>
      <c r="C728" s="44" t="s">
        <v>200</v>
      </c>
      <c r="D728" s="45" t="s">
        <v>32</v>
      </c>
      <c r="E728" s="46" t="s">
        <v>530</v>
      </c>
      <c r="F728" s="33" t="s">
        <v>522</v>
      </c>
      <c r="G728" s="40">
        <v>46035</v>
      </c>
      <c r="H728" s="35">
        <v>57972.5</v>
      </c>
      <c r="I728" s="36"/>
      <c r="J728" s="35">
        <f>SUM(Table1[[#This Row],[LC Value]:[Amd Value]])</f>
        <v>57972.5</v>
      </c>
      <c r="K728" s="36">
        <v>3.05</v>
      </c>
      <c r="L728" s="37">
        <v>18650</v>
      </c>
      <c r="M728" s="47" t="s">
        <v>394</v>
      </c>
      <c r="N728" s="47" t="s">
        <v>531</v>
      </c>
      <c r="O728" s="48" t="str">
        <f>IFERROR(_xlfn.XLOOKUP(C728, Data!$A$2:$A$236, Data!$C$2:$C$236), "")</f>
        <v>MD. Sir</v>
      </c>
    </row>
    <row r="729" spans="1:15" ht="42" customHeight="1" x14ac:dyDescent="0.35">
      <c r="A729" s="46" t="s">
        <v>518</v>
      </c>
      <c r="B729" s="111" t="s">
        <v>519</v>
      </c>
      <c r="C729" s="44" t="s">
        <v>520</v>
      </c>
      <c r="D729" s="45" t="s">
        <v>23</v>
      </c>
      <c r="E729" s="46" t="s">
        <v>521</v>
      </c>
      <c r="F729" s="33" t="s">
        <v>522</v>
      </c>
      <c r="G729" s="40">
        <v>46035</v>
      </c>
      <c r="H729" s="35">
        <v>49550</v>
      </c>
      <c r="I729" s="36"/>
      <c r="J729" s="35">
        <f>SUM(Table1[[#This Row],[LC Value]:[Amd Value]])</f>
        <v>49550</v>
      </c>
      <c r="K729" s="36">
        <v>8.6</v>
      </c>
      <c r="L729" s="37">
        <v>5400</v>
      </c>
      <c r="M729" s="47" t="s">
        <v>361</v>
      </c>
      <c r="N729" s="47" t="s">
        <v>523</v>
      </c>
      <c r="O729" s="48" t="str">
        <f>IFERROR(_xlfn.XLOOKUP(C729, Data!$A$2:$A$236, Data!$C$2:$C$236), "")</f>
        <v>Mr. Lipu Sir</v>
      </c>
    </row>
    <row r="730" spans="1:15" ht="42" customHeight="1" x14ac:dyDescent="0.35">
      <c r="A730" s="46" t="s">
        <v>515</v>
      </c>
      <c r="B730" s="111" t="s">
        <v>516</v>
      </c>
      <c r="C730" s="44" t="s">
        <v>124</v>
      </c>
      <c r="D730" s="45" t="s">
        <v>125</v>
      </c>
      <c r="E730" s="46" t="s">
        <v>517</v>
      </c>
      <c r="F730" s="33" t="s">
        <v>463</v>
      </c>
      <c r="G730" s="40">
        <v>46042</v>
      </c>
      <c r="H730" s="35">
        <v>6105</v>
      </c>
      <c r="I730" s="36"/>
      <c r="J730" s="35">
        <f>SUM(Table1[[#This Row],[LC Value]:[Amd Value]])</f>
        <v>6105</v>
      </c>
      <c r="K730" s="36">
        <v>3</v>
      </c>
      <c r="L730" s="37">
        <v>2000</v>
      </c>
      <c r="M730" s="47" t="s">
        <v>472</v>
      </c>
      <c r="N730" s="47" t="s">
        <v>457</v>
      </c>
      <c r="O730" s="48" t="str">
        <f>IFERROR(_xlfn.XLOOKUP(C730, Data!$A$2:$A$236, Data!$C$2:$C$236), "")</f>
        <v>Mr. Lipu Sir</v>
      </c>
    </row>
    <row r="731" spans="1:15" ht="42" customHeight="1" x14ac:dyDescent="0.35">
      <c r="A731" s="46" t="s">
        <v>512</v>
      </c>
      <c r="B731" s="111" t="s">
        <v>513</v>
      </c>
      <c r="C731" s="44" t="s">
        <v>200</v>
      </c>
      <c r="D731" s="45" t="s">
        <v>32</v>
      </c>
      <c r="E731" s="46" t="s">
        <v>514</v>
      </c>
      <c r="F731" s="33" t="s">
        <v>463</v>
      </c>
      <c r="G731" s="40">
        <v>46033</v>
      </c>
      <c r="H731" s="35">
        <v>34740</v>
      </c>
      <c r="I731" s="36"/>
      <c r="J731" s="35">
        <f>SUM(Table1[[#This Row],[LC Value]:[Amd Value]])</f>
        <v>34740</v>
      </c>
      <c r="K731" s="36">
        <v>3.65</v>
      </c>
      <c r="L731" s="37">
        <v>9650</v>
      </c>
      <c r="M731" s="47" t="s">
        <v>472</v>
      </c>
      <c r="N731" s="47" t="s">
        <v>457</v>
      </c>
      <c r="O731" s="48" t="str">
        <f>IFERROR(_xlfn.XLOOKUP(C731, Data!$A$2:$A$236, Data!$C$2:$C$236), "")</f>
        <v>MD. Sir</v>
      </c>
    </row>
    <row r="732" spans="1:15" ht="42" customHeight="1" x14ac:dyDescent="0.35">
      <c r="A732" s="46" t="s">
        <v>503</v>
      </c>
      <c r="B732" s="111" t="s">
        <v>506</v>
      </c>
      <c r="C732" s="44" t="s">
        <v>200</v>
      </c>
      <c r="D732" s="45" t="s">
        <v>32</v>
      </c>
      <c r="E732" s="46" t="s">
        <v>507</v>
      </c>
      <c r="F732" s="33" t="s">
        <v>463</v>
      </c>
      <c r="G732" s="40">
        <v>46033</v>
      </c>
      <c r="H732" s="35">
        <f>108900+107200</f>
        <v>216100</v>
      </c>
      <c r="I732" s="36"/>
      <c r="J732" s="35">
        <f>SUM(Table1[[#This Row],[LC Value]:[Amd Value]])</f>
        <v>216100</v>
      </c>
      <c r="K732" s="36">
        <v>3.65</v>
      </c>
      <c r="L732" s="37">
        <v>22000</v>
      </c>
      <c r="M732" s="47" t="s">
        <v>472</v>
      </c>
      <c r="N732" s="47" t="s">
        <v>457</v>
      </c>
      <c r="O732" s="48" t="str">
        <f>IFERROR(_xlfn.XLOOKUP(C732, Data!$A$2:$A$236, Data!$C$2:$C$236), "")</f>
        <v>MD. Sir</v>
      </c>
    </row>
    <row r="733" spans="1:15" ht="42" customHeight="1" x14ac:dyDescent="0.35">
      <c r="A733" s="46" t="s">
        <v>500</v>
      </c>
      <c r="B733" s="111" t="s">
        <v>632</v>
      </c>
      <c r="C733" s="44" t="s">
        <v>200</v>
      </c>
      <c r="D733" s="45" t="s">
        <v>32</v>
      </c>
      <c r="E733" s="46" t="s">
        <v>502</v>
      </c>
      <c r="F733" s="33" t="s">
        <v>463</v>
      </c>
      <c r="G733" s="40">
        <v>46033</v>
      </c>
      <c r="H733" s="35">
        <v>119730</v>
      </c>
      <c r="I733" s="36"/>
      <c r="J733" s="35">
        <f>SUM(Table1[[#This Row],[LC Value]:[Amd Value]])</f>
        <v>119730</v>
      </c>
      <c r="K733" s="36">
        <v>3.65</v>
      </c>
      <c r="L733" s="37">
        <v>30700</v>
      </c>
      <c r="M733" s="47" t="s">
        <v>472</v>
      </c>
      <c r="N733" s="47" t="s">
        <v>457</v>
      </c>
      <c r="O733" s="48" t="str">
        <f>IFERROR(_xlfn.XLOOKUP(C733, Data!$A$2:$A$236, Data!$C$2:$C$236), "")</f>
        <v>MD. Sir</v>
      </c>
    </row>
    <row r="734" spans="1:15" ht="42" customHeight="1" x14ac:dyDescent="0.35">
      <c r="A734" s="46" t="s">
        <v>498</v>
      </c>
      <c r="B734" s="111" t="s">
        <v>501</v>
      </c>
      <c r="C734" s="44" t="s">
        <v>200</v>
      </c>
      <c r="D734" s="45" t="s">
        <v>32</v>
      </c>
      <c r="E734" s="46" t="s">
        <v>499</v>
      </c>
      <c r="F734" s="33" t="s">
        <v>463</v>
      </c>
      <c r="G734" s="40">
        <v>46033</v>
      </c>
      <c r="H734" s="35">
        <v>98002.5</v>
      </c>
      <c r="I734" s="36"/>
      <c r="J734" s="35">
        <f>SUM(Table1[[#This Row],[LC Value]:[Amd Value]])</f>
        <v>98002.5</v>
      </c>
      <c r="K734" s="36">
        <v>3.65</v>
      </c>
      <c r="L734" s="37">
        <f>4900+6800+1450</f>
        <v>13150</v>
      </c>
      <c r="M734" s="47" t="s">
        <v>472</v>
      </c>
      <c r="N734" s="47" t="s">
        <v>457</v>
      </c>
      <c r="O734" s="48" t="str">
        <f>IFERROR(_xlfn.XLOOKUP(C734, Data!$A$2:$A$236, Data!$C$2:$C$236), "")</f>
        <v>MD. Sir</v>
      </c>
    </row>
    <row r="735" spans="1:15" ht="42" customHeight="1" x14ac:dyDescent="0.35">
      <c r="A735" s="46" t="s">
        <v>495</v>
      </c>
      <c r="B735" s="111" t="s">
        <v>496</v>
      </c>
      <c r="C735" s="44" t="s">
        <v>200</v>
      </c>
      <c r="D735" s="45" t="s">
        <v>79</v>
      </c>
      <c r="E735" s="46" t="s">
        <v>497</v>
      </c>
      <c r="F735" s="33" t="s">
        <v>463</v>
      </c>
      <c r="G735" s="40">
        <v>46035</v>
      </c>
      <c r="H735" s="35">
        <f>5185+2236+3360+6511.75+2287.5</f>
        <v>19580.25</v>
      </c>
      <c r="I735" s="36"/>
      <c r="J735" s="35">
        <f>SUM(Table1[[#This Row],[LC Value]:[Amd Value]])</f>
        <v>19580.25</v>
      </c>
      <c r="K735" s="36">
        <v>2.8</v>
      </c>
      <c r="L735" s="37">
        <f>4900+6800+1450</f>
        <v>13150</v>
      </c>
      <c r="M735" s="47" t="s">
        <v>472</v>
      </c>
      <c r="N735" s="47" t="s">
        <v>457</v>
      </c>
      <c r="O735" s="48" t="str">
        <f>IFERROR(_xlfn.XLOOKUP(C735, Data!$A$2:$A$236, Data!$C$2:$C$236), "")</f>
        <v>MD. Sir</v>
      </c>
    </row>
    <row r="736" spans="1:15" ht="42" customHeight="1" x14ac:dyDescent="0.35">
      <c r="A736" s="46" t="s">
        <v>492</v>
      </c>
      <c r="B736" s="111" t="s">
        <v>494</v>
      </c>
      <c r="C736" s="44" t="s">
        <v>200</v>
      </c>
      <c r="D736" s="45" t="s">
        <v>79</v>
      </c>
      <c r="E736" s="46" t="s">
        <v>493</v>
      </c>
      <c r="F736" s="33" t="s">
        <v>463</v>
      </c>
      <c r="G736" s="40">
        <v>46035</v>
      </c>
      <c r="H736" s="35">
        <f>13720+22780+4857.5</f>
        <v>41357.5</v>
      </c>
      <c r="I736" s="36"/>
      <c r="J736" s="35">
        <f>SUM(Table1[[#This Row],[LC Value]:[Amd Value]])</f>
        <v>41357.5</v>
      </c>
      <c r="K736" s="36">
        <v>2.8</v>
      </c>
      <c r="L736" s="37">
        <f>4900+6800+1450</f>
        <v>13150</v>
      </c>
      <c r="M736" s="47" t="s">
        <v>472</v>
      </c>
      <c r="N736" s="47" t="s">
        <v>457</v>
      </c>
      <c r="O736" s="48" t="str">
        <f>IFERROR(_xlfn.XLOOKUP(C736, Data!$A$2:$A$236, Data!$C$2:$C$236), "")</f>
        <v>MD. Sir</v>
      </c>
    </row>
    <row r="737" spans="1:15" ht="42" customHeight="1" x14ac:dyDescent="0.35">
      <c r="A737" s="46" t="s">
        <v>489</v>
      </c>
      <c r="B737" s="111" t="s">
        <v>490</v>
      </c>
      <c r="C737" s="44" t="s">
        <v>200</v>
      </c>
      <c r="D737" s="45" t="s">
        <v>79</v>
      </c>
      <c r="E737" s="46" t="s">
        <v>491</v>
      </c>
      <c r="F737" s="33" t="s">
        <v>463</v>
      </c>
      <c r="G737" s="40">
        <v>46033</v>
      </c>
      <c r="H737" s="35">
        <f>71980+153700</f>
        <v>225680</v>
      </c>
      <c r="I737" s="36"/>
      <c r="J737" s="35">
        <f>SUM(Table1[[#This Row],[LC Value]:[Amd Value]])</f>
        <v>225680</v>
      </c>
      <c r="K737" s="36">
        <v>3.05</v>
      </c>
      <c r="L737" s="37">
        <f>23600+58000</f>
        <v>81600</v>
      </c>
      <c r="M737" s="47" t="s">
        <v>472</v>
      </c>
      <c r="N737" s="47" t="s">
        <v>457</v>
      </c>
      <c r="O737" s="48" t="str">
        <f>IFERROR(_xlfn.XLOOKUP(C737, Data!$A$2:$A$236, Data!$C$2:$C$236), "")</f>
        <v>MD. Sir</v>
      </c>
    </row>
    <row r="738" spans="1:15" ht="42" customHeight="1" x14ac:dyDescent="0.35">
      <c r="A738" s="46" t="s">
        <v>486</v>
      </c>
      <c r="B738" s="111" t="s">
        <v>487</v>
      </c>
      <c r="C738" s="44" t="s">
        <v>200</v>
      </c>
      <c r="D738" s="45" t="s">
        <v>79</v>
      </c>
      <c r="E738" s="46" t="s">
        <v>488</v>
      </c>
      <c r="F738" s="33" t="s">
        <v>463</v>
      </c>
      <c r="G738" s="40">
        <v>46033</v>
      </c>
      <c r="H738" s="35">
        <v>14570</v>
      </c>
      <c r="I738" s="36"/>
      <c r="J738" s="35">
        <f>SUM(Table1[[#This Row],[LC Value]:[Amd Value]])</f>
        <v>14570</v>
      </c>
      <c r="K738" s="36">
        <v>3.1</v>
      </c>
      <c r="L738" s="37">
        <v>4700</v>
      </c>
      <c r="M738" s="47" t="s">
        <v>472</v>
      </c>
      <c r="N738" s="47" t="s">
        <v>457</v>
      </c>
      <c r="O738" s="48" t="str">
        <f>IFERROR(_xlfn.XLOOKUP(C738, Data!$A$2:$A$236, Data!$C$2:$C$236), "")</f>
        <v>MD. Sir</v>
      </c>
    </row>
    <row r="739" spans="1:15" ht="42" customHeight="1" x14ac:dyDescent="0.35">
      <c r="A739" s="46" t="s">
        <v>483</v>
      </c>
      <c r="B739" s="111" t="s">
        <v>484</v>
      </c>
      <c r="C739" s="44" t="s">
        <v>200</v>
      </c>
      <c r="D739" s="45" t="s">
        <v>79</v>
      </c>
      <c r="E739" s="46" t="s">
        <v>485</v>
      </c>
      <c r="F739" s="33" t="s">
        <v>463</v>
      </c>
      <c r="G739" s="40">
        <v>46033</v>
      </c>
      <c r="H739" s="35">
        <v>91980</v>
      </c>
      <c r="I739" s="36"/>
      <c r="J739" s="35">
        <f>SUM(Table1[[#This Row],[LC Value]:[Amd Value]])</f>
        <v>91980</v>
      </c>
      <c r="K739" s="36">
        <v>3.1</v>
      </c>
      <c r="L739" s="37">
        <v>32400</v>
      </c>
      <c r="M739" s="47" t="s">
        <v>472</v>
      </c>
      <c r="N739" s="47" t="s">
        <v>457</v>
      </c>
      <c r="O739" s="48" t="str">
        <f>IFERROR(_xlfn.XLOOKUP(C739, Data!$A$2:$A$236, Data!$C$2:$C$236), "")</f>
        <v>MD. Sir</v>
      </c>
    </row>
    <row r="740" spans="1:15" ht="42" customHeight="1" x14ac:dyDescent="0.35">
      <c r="A740" s="46" t="s">
        <v>479</v>
      </c>
      <c r="B740" s="111" t="s">
        <v>480</v>
      </c>
      <c r="C740" s="44" t="s">
        <v>200</v>
      </c>
      <c r="D740" s="45" t="s">
        <v>98</v>
      </c>
      <c r="E740" s="46" t="s">
        <v>481</v>
      </c>
      <c r="F740" s="33" t="s">
        <v>463</v>
      </c>
      <c r="G740" s="40">
        <v>46033</v>
      </c>
      <c r="H740" s="35">
        <v>17850</v>
      </c>
      <c r="I740" s="36"/>
      <c r="J740" s="35">
        <f>SUM(Table1[[#This Row],[LC Value]:[Amd Value]])</f>
        <v>17850</v>
      </c>
      <c r="K740" s="36">
        <v>3.5</v>
      </c>
      <c r="L740" s="37">
        <v>5100</v>
      </c>
      <c r="M740" s="47" t="s">
        <v>472</v>
      </c>
      <c r="N740" s="47" t="s">
        <v>457</v>
      </c>
      <c r="O740" s="48" t="str">
        <f>IFERROR(_xlfn.XLOOKUP(C740, Data!$A$2:$A$236, Data!$C$2:$C$236), "")</f>
        <v>MD. Sir</v>
      </c>
    </row>
    <row r="741" spans="1:15" ht="42" customHeight="1" x14ac:dyDescent="0.35">
      <c r="A741" s="46" t="s">
        <v>476</v>
      </c>
      <c r="B741" s="111" t="s">
        <v>477</v>
      </c>
      <c r="C741" s="44" t="s">
        <v>200</v>
      </c>
      <c r="D741" s="45" t="s">
        <v>98</v>
      </c>
      <c r="E741" s="46" t="s">
        <v>478</v>
      </c>
      <c r="F741" s="33" t="s">
        <v>463</v>
      </c>
      <c r="G741" s="40">
        <v>46033</v>
      </c>
      <c r="H741" s="35">
        <v>50700</v>
      </c>
      <c r="I741" s="36"/>
      <c r="J741" s="35">
        <f>SUM(Table1[[#This Row],[LC Value]:[Amd Value]])</f>
        <v>50700</v>
      </c>
      <c r="K741" s="36">
        <v>3.9</v>
      </c>
      <c r="L741" s="37">
        <v>13000</v>
      </c>
      <c r="M741" s="47" t="s">
        <v>472</v>
      </c>
      <c r="N741" s="47" t="s">
        <v>457</v>
      </c>
      <c r="O741" s="48" t="str">
        <f>IFERROR(_xlfn.XLOOKUP(C741, Data!$A$2:$A$236, Data!$C$2:$C$236), "")</f>
        <v>MD. Sir</v>
      </c>
    </row>
    <row r="742" spans="1:15" ht="42" customHeight="1" x14ac:dyDescent="0.35">
      <c r="A742" s="46" t="s">
        <v>473</v>
      </c>
      <c r="B742" s="111" t="s">
        <v>474</v>
      </c>
      <c r="C742" s="44" t="s">
        <v>200</v>
      </c>
      <c r="D742" s="45" t="s">
        <v>98</v>
      </c>
      <c r="E742" s="46" t="s">
        <v>475</v>
      </c>
      <c r="F742" s="33" t="s">
        <v>463</v>
      </c>
      <c r="G742" s="40">
        <v>46033</v>
      </c>
      <c r="H742" s="35">
        <v>29705</v>
      </c>
      <c r="I742" s="36"/>
      <c r="J742" s="35">
        <f>SUM(Table1[[#This Row],[LC Value]:[Amd Value]])</f>
        <v>29705</v>
      </c>
      <c r="K742" s="36">
        <v>2.5</v>
      </c>
      <c r="L742" s="37">
        <v>2600</v>
      </c>
      <c r="M742" s="47" t="s">
        <v>472</v>
      </c>
      <c r="N742" s="47" t="s">
        <v>457</v>
      </c>
      <c r="O742" s="48" t="str">
        <f>IFERROR(_xlfn.XLOOKUP(C742, Data!$A$2:$A$236, Data!$C$2:$C$236), "")</f>
        <v>MD. Sir</v>
      </c>
    </row>
    <row r="743" spans="1:15" ht="42" customHeight="1" x14ac:dyDescent="0.35">
      <c r="A743" s="46" t="s">
        <v>467</v>
      </c>
      <c r="B743" s="111" t="s">
        <v>468</v>
      </c>
      <c r="C743" s="44" t="s">
        <v>30</v>
      </c>
      <c r="D743" s="45" t="s">
        <v>482</v>
      </c>
      <c r="E743" s="46" t="s">
        <v>470</v>
      </c>
      <c r="F743" s="33" t="s">
        <v>463</v>
      </c>
      <c r="G743" s="40">
        <v>46036</v>
      </c>
      <c r="H743" s="35">
        <v>8560</v>
      </c>
      <c r="I743" s="36"/>
      <c r="J743" s="35">
        <f>SUM(Table1[[#This Row],[LC Value]:[Amd Value]])</f>
        <v>8560</v>
      </c>
      <c r="K743" s="36">
        <v>3.25</v>
      </c>
      <c r="L743" s="37">
        <v>2600</v>
      </c>
      <c r="M743" s="47" t="s">
        <v>472</v>
      </c>
      <c r="N743" s="47" t="s">
        <v>457</v>
      </c>
      <c r="O743" s="48" t="str">
        <f>IFERROR(_xlfn.XLOOKUP(C743, Data!$A$2:$A$236, Data!$C$2:$C$236), "")</f>
        <v>Director Sir</v>
      </c>
    </row>
    <row r="744" spans="1:15" ht="42" customHeight="1" x14ac:dyDescent="0.35">
      <c r="A744" s="46" t="s">
        <v>464</v>
      </c>
      <c r="B744" s="111" t="s">
        <v>465</v>
      </c>
      <c r="C744" s="44" t="s">
        <v>90</v>
      </c>
      <c r="D744" s="45" t="s">
        <v>91</v>
      </c>
      <c r="E744" s="46" t="s">
        <v>466</v>
      </c>
      <c r="F744" s="33" t="s">
        <v>463</v>
      </c>
      <c r="G744" s="40">
        <v>46033</v>
      </c>
      <c r="H744" s="35">
        <f>87000+278400</f>
        <v>365400</v>
      </c>
      <c r="I744" s="36"/>
      <c r="J744" s="35">
        <f>SUM(Table1[[#This Row],[LC Value]:[Amd Value]])</f>
        <v>365400</v>
      </c>
      <c r="K744" s="36">
        <v>8.6999999999999993</v>
      </c>
      <c r="L744" s="37">
        <v>42000</v>
      </c>
      <c r="M744" s="47" t="s">
        <v>417</v>
      </c>
      <c r="N744" s="47" t="s">
        <v>452</v>
      </c>
      <c r="O744" s="48" t="str">
        <f>IFERROR(_xlfn.XLOOKUP(C744, Data!$A$2:$A$236, Data!$C$2:$C$236), "")</f>
        <v>Mr. Wadud Sir</v>
      </c>
    </row>
    <row r="745" spans="1:15" ht="42" customHeight="1" x14ac:dyDescent="0.35">
      <c r="A745" s="46" t="s">
        <v>460</v>
      </c>
      <c r="B745" s="111" t="s">
        <v>461</v>
      </c>
      <c r="C745" s="44" t="s">
        <v>49</v>
      </c>
      <c r="D745" s="45" t="s">
        <v>29</v>
      </c>
      <c r="E745" s="46" t="s">
        <v>462</v>
      </c>
      <c r="F745" s="33">
        <v>46033</v>
      </c>
      <c r="G745" s="40" t="s">
        <v>561</v>
      </c>
      <c r="H745" s="35">
        <v>9000</v>
      </c>
      <c r="I745" s="36">
        <v>5400</v>
      </c>
      <c r="J745" s="35">
        <f>SUM(Table1[[#This Row],[LC Value]:[Amd Value]])</f>
        <v>14400</v>
      </c>
      <c r="K745" s="36">
        <v>9</v>
      </c>
      <c r="L745" s="37">
        <v>1000</v>
      </c>
      <c r="M745" s="47" t="s">
        <v>350</v>
      </c>
      <c r="N745" s="47" t="s">
        <v>349</v>
      </c>
      <c r="O745" s="48" t="str">
        <f>IFERROR(_xlfn.XLOOKUP(C745, Data!$A$2:$A$236, Data!$C$2:$C$236), "")</f>
        <v>Mr. Lipu Sir</v>
      </c>
    </row>
    <row r="746" spans="1:15" ht="42" customHeight="1" x14ac:dyDescent="0.35">
      <c r="A746" s="46" t="s">
        <v>454</v>
      </c>
      <c r="B746" s="111" t="s">
        <v>455</v>
      </c>
      <c r="C746" s="44" t="s">
        <v>68</v>
      </c>
      <c r="D746" s="45" t="s">
        <v>414</v>
      </c>
      <c r="E746" s="46" t="s">
        <v>456</v>
      </c>
      <c r="F746" s="33" t="s">
        <v>415</v>
      </c>
      <c r="G746" s="40">
        <v>46033</v>
      </c>
      <c r="H746" s="35">
        <v>10830</v>
      </c>
      <c r="I746" s="36"/>
      <c r="J746" s="35">
        <f>SUM(Table1[[#This Row],[LC Value]:[Amd Value]])</f>
        <v>10830</v>
      </c>
      <c r="K746" s="36">
        <v>3.8</v>
      </c>
      <c r="L746" s="37">
        <v>2850</v>
      </c>
      <c r="M746" s="47" t="s">
        <v>441</v>
      </c>
      <c r="N746" s="47" t="s">
        <v>457</v>
      </c>
      <c r="O746" s="48" t="str">
        <f>IFERROR(_xlfn.XLOOKUP(C746, Data!$A$2:$A$236, Data!$C$2:$C$236), "")</f>
        <v>Director Sir</v>
      </c>
    </row>
    <row r="747" spans="1:15" ht="42" customHeight="1" x14ac:dyDescent="0.35">
      <c r="A747" s="46" t="s">
        <v>450</v>
      </c>
      <c r="B747" s="111" t="s">
        <v>419</v>
      </c>
      <c r="C747" s="44" t="s">
        <v>64</v>
      </c>
      <c r="D747" s="45" t="s">
        <v>21</v>
      </c>
      <c r="E747" s="46" t="s">
        <v>451</v>
      </c>
      <c r="F747" s="33" t="s">
        <v>415</v>
      </c>
      <c r="G747" s="40">
        <v>46029</v>
      </c>
      <c r="H747" s="35">
        <v>31175</v>
      </c>
      <c r="I747" s="36"/>
      <c r="J747" s="35">
        <f>SUM(Table1[[#This Row],[LC Value]:[Amd Value]])</f>
        <v>31175</v>
      </c>
      <c r="K747" s="36">
        <v>3.15</v>
      </c>
      <c r="L747" s="37">
        <v>9600</v>
      </c>
      <c r="M747" s="47" t="s">
        <v>417</v>
      </c>
      <c r="N747" s="47" t="s">
        <v>452</v>
      </c>
      <c r="O747" s="48" t="str">
        <f>IFERROR(_xlfn.XLOOKUP(C747, Data!$A$2:$A$236, Data!$C$2:$C$236), "")</f>
        <v>Mr. Reza Sir</v>
      </c>
    </row>
    <row r="748" spans="1:15" ht="42" customHeight="1" x14ac:dyDescent="0.35">
      <c r="A748" s="46" t="s">
        <v>445</v>
      </c>
      <c r="B748" s="111" t="s">
        <v>446</v>
      </c>
      <c r="C748" s="44" t="s">
        <v>112</v>
      </c>
      <c r="D748" s="45" t="s">
        <v>113</v>
      </c>
      <c r="E748" s="46" t="s">
        <v>447</v>
      </c>
      <c r="F748" s="33" t="s">
        <v>415</v>
      </c>
      <c r="G748" s="40">
        <v>46033</v>
      </c>
      <c r="H748" s="35">
        <v>21127</v>
      </c>
      <c r="I748" s="36"/>
      <c r="J748" s="35">
        <f>SUM(Table1[[#This Row],[LC Value]:[Amd Value]])</f>
        <v>21127</v>
      </c>
      <c r="K748" s="36">
        <v>3.15</v>
      </c>
      <c r="L748" s="37">
        <v>6350</v>
      </c>
      <c r="M748" s="47" t="s">
        <v>449</v>
      </c>
      <c r="N748" s="47" t="s">
        <v>416</v>
      </c>
      <c r="O748" s="48" t="str">
        <f>IFERROR(_xlfn.XLOOKUP(C748, Data!$A$2:$A$236, Data!$C$2:$C$236), "")</f>
        <v>Mr. Reza Sir</v>
      </c>
    </row>
    <row r="749" spans="1:15" ht="42" customHeight="1" x14ac:dyDescent="0.35">
      <c r="A749" s="46" t="s">
        <v>442</v>
      </c>
      <c r="B749" s="111" t="s">
        <v>443</v>
      </c>
      <c r="C749" s="44" t="s">
        <v>138</v>
      </c>
      <c r="D749" s="45" t="s">
        <v>421</v>
      </c>
      <c r="E749" s="46" t="s">
        <v>444</v>
      </c>
      <c r="F749" s="33" t="s">
        <v>415</v>
      </c>
      <c r="G749" s="40">
        <v>46029</v>
      </c>
      <c r="H749" s="35">
        <v>171000</v>
      </c>
      <c r="I749" s="36"/>
      <c r="J749" s="35">
        <f>SUM(Table1[[#This Row],[LC Value]:[Amd Value]])</f>
        <v>171000</v>
      </c>
      <c r="K749" s="36">
        <v>3.42</v>
      </c>
      <c r="L749" s="37">
        <v>50000</v>
      </c>
      <c r="M749" s="47" t="s">
        <v>417</v>
      </c>
      <c r="N749" s="47" t="s">
        <v>425</v>
      </c>
      <c r="O749" s="48" t="str">
        <f>IFERROR(_xlfn.XLOOKUP(C749, Data!$A$2:$A$236, Data!$C$2:$C$236), "")</f>
        <v>Mr. Amran Sir</v>
      </c>
    </row>
    <row r="750" spans="1:15" ht="42" customHeight="1" x14ac:dyDescent="0.35">
      <c r="A750" s="46" t="s">
        <v>435</v>
      </c>
      <c r="B750" s="111" t="s">
        <v>436</v>
      </c>
      <c r="C750" s="44" t="s">
        <v>199</v>
      </c>
      <c r="D750" s="45" t="s">
        <v>98</v>
      </c>
      <c r="E750" s="46" t="s">
        <v>437</v>
      </c>
      <c r="F750" s="33" t="s">
        <v>415</v>
      </c>
      <c r="G750" s="40">
        <v>46029</v>
      </c>
      <c r="H750" s="35">
        <v>5920</v>
      </c>
      <c r="I750" s="36"/>
      <c r="J750" s="35">
        <f>SUM(Table1[[#This Row],[LC Value]:[Amd Value]])</f>
        <v>5920</v>
      </c>
      <c r="K750" s="36">
        <v>3.4</v>
      </c>
      <c r="L750" s="37">
        <v>1850</v>
      </c>
      <c r="M750" s="47" t="s">
        <v>417</v>
      </c>
      <c r="N750" s="47" t="s">
        <v>425</v>
      </c>
      <c r="O750" s="48" t="str">
        <f>IFERROR(_xlfn.XLOOKUP(C750, Data!$A$2:$A$236, Data!$C$2:$C$236), "")</f>
        <v>MD. Sir</v>
      </c>
    </row>
    <row r="751" spans="1:15" ht="42" customHeight="1" x14ac:dyDescent="0.35">
      <c r="A751" s="46" t="s">
        <v>432</v>
      </c>
      <c r="B751" s="111" t="s">
        <v>433</v>
      </c>
      <c r="C751" s="44" t="s">
        <v>199</v>
      </c>
      <c r="D751" s="45" t="s">
        <v>98</v>
      </c>
      <c r="E751" s="46" t="s">
        <v>434</v>
      </c>
      <c r="F751" s="33" t="s">
        <v>415</v>
      </c>
      <c r="G751" s="40">
        <v>46029</v>
      </c>
      <c r="H751" s="35">
        <f>104305+45050</f>
        <v>149355</v>
      </c>
      <c r="I751" s="36"/>
      <c r="J751" s="35">
        <f>SUM(Table1[[#This Row],[LC Value]:[Amd Value]])</f>
        <v>149355</v>
      </c>
      <c r="K751" s="36">
        <v>3.4</v>
      </c>
      <c r="L751" s="37">
        <f>45350+19800</f>
        <v>65150</v>
      </c>
      <c r="M751" s="47" t="s">
        <v>417</v>
      </c>
      <c r="N751" s="47" t="s">
        <v>425</v>
      </c>
      <c r="O751" s="48" t="str">
        <f>IFERROR(_xlfn.XLOOKUP(C751, Data!$A$2:$A$236, Data!$C$2:$C$236), "")</f>
        <v>MD. Sir</v>
      </c>
    </row>
    <row r="752" spans="1:15" ht="42" customHeight="1" x14ac:dyDescent="0.35">
      <c r="A752" s="46" t="s">
        <v>429</v>
      </c>
      <c r="B752" s="111" t="s">
        <v>430</v>
      </c>
      <c r="C752" s="44" t="s">
        <v>200</v>
      </c>
      <c r="D752" s="45" t="s">
        <v>98</v>
      </c>
      <c r="E752" s="46" t="s">
        <v>431</v>
      </c>
      <c r="F752" s="33" t="s">
        <v>415</v>
      </c>
      <c r="G752" s="40">
        <v>46030</v>
      </c>
      <c r="H752" s="35">
        <f>119730+47122.5</f>
        <v>166852.5</v>
      </c>
      <c r="I752" s="36"/>
      <c r="J752" s="35">
        <f>SUM(Table1[[#This Row],[LC Value]:[Amd Value]])</f>
        <v>166852.5</v>
      </c>
      <c r="K752" s="36">
        <v>3.4</v>
      </c>
      <c r="L752" s="37">
        <f>30700+15450</f>
        <v>46150</v>
      </c>
      <c r="M752" s="47" t="s">
        <v>417</v>
      </c>
      <c r="N752" s="47" t="s">
        <v>425</v>
      </c>
      <c r="O752" s="48" t="str">
        <f>IFERROR(_xlfn.XLOOKUP(C752, Data!$A$2:$A$236, Data!$C$2:$C$236), "")</f>
        <v>MD. Sir</v>
      </c>
    </row>
    <row r="753" spans="1:15" ht="42" customHeight="1" x14ac:dyDescent="0.35">
      <c r="A753" s="46" t="s">
        <v>426</v>
      </c>
      <c r="B753" s="111" t="s">
        <v>427</v>
      </c>
      <c r="C753" s="44" t="s">
        <v>199</v>
      </c>
      <c r="D753" s="45" t="s">
        <v>98</v>
      </c>
      <c r="E753" s="46" t="s">
        <v>428</v>
      </c>
      <c r="F753" s="33" t="s">
        <v>415</v>
      </c>
      <c r="G753" s="40">
        <v>46029</v>
      </c>
      <c r="H753" s="35">
        <v>61200</v>
      </c>
      <c r="I753" s="36"/>
      <c r="J753" s="35">
        <f>SUM(Table1[[#This Row],[LC Value]:[Amd Value]])</f>
        <v>61200</v>
      </c>
      <c r="K753" s="36">
        <v>3.4</v>
      </c>
      <c r="L753" s="37">
        <v>18000</v>
      </c>
      <c r="M753" s="47" t="s">
        <v>417</v>
      </c>
      <c r="N753" s="47" t="s">
        <v>425</v>
      </c>
      <c r="O753" s="48" t="str">
        <f>IFERROR(_xlfn.XLOOKUP(C753, Data!$A$2:$A$236, Data!$C$2:$C$236), "")</f>
        <v>MD. Sir</v>
      </c>
    </row>
    <row r="754" spans="1:15" ht="42" customHeight="1" x14ac:dyDescent="0.35">
      <c r="A754" s="46" t="s">
        <v>418</v>
      </c>
      <c r="B754" s="111" t="s">
        <v>420</v>
      </c>
      <c r="C754" s="44" t="s">
        <v>138</v>
      </c>
      <c r="D754" s="45" t="s">
        <v>421</v>
      </c>
      <c r="E754" s="46" t="s">
        <v>424</v>
      </c>
      <c r="F754" s="33" t="s">
        <v>415</v>
      </c>
      <c r="G754" s="40">
        <v>46030</v>
      </c>
      <c r="H754" s="35">
        <v>171000</v>
      </c>
      <c r="I754" s="36"/>
      <c r="J754" s="35">
        <f>SUM(Table1[[#This Row],[LC Value]:[Amd Value]])</f>
        <v>171000</v>
      </c>
      <c r="K754" s="36">
        <v>3.42</v>
      </c>
      <c r="L754" s="37">
        <v>50000</v>
      </c>
      <c r="M754" s="47" t="s">
        <v>417</v>
      </c>
      <c r="N754" s="47" t="s">
        <v>425</v>
      </c>
      <c r="O754" s="48" t="str">
        <f>IFERROR(_xlfn.XLOOKUP(C754, Data!$A$2:$A$236, Data!$C$2:$C$236), "")</f>
        <v>Mr. Amran Sir</v>
      </c>
    </row>
    <row r="755" spans="1:15" ht="42" customHeight="1" x14ac:dyDescent="0.35">
      <c r="A755" s="46" t="s">
        <v>409</v>
      </c>
      <c r="B755" s="111" t="s">
        <v>411</v>
      </c>
      <c r="C755" s="44" t="s">
        <v>68</v>
      </c>
      <c r="D755" s="45" t="s">
        <v>414</v>
      </c>
      <c r="E755" s="46" t="s">
        <v>423</v>
      </c>
      <c r="F755" s="33" t="s">
        <v>415</v>
      </c>
      <c r="G755" s="40">
        <v>46033</v>
      </c>
      <c r="H755" s="35">
        <v>5475</v>
      </c>
      <c r="I755" s="36"/>
      <c r="J755" s="35">
        <f>SUM(Table1[[#This Row],[LC Value]:[Amd Value]])</f>
        <v>5475</v>
      </c>
      <c r="K755" s="36">
        <v>3.65</v>
      </c>
      <c r="L755" s="37">
        <v>1500</v>
      </c>
      <c r="M755" s="47" t="s">
        <v>417</v>
      </c>
      <c r="N755" s="47" t="s">
        <v>416</v>
      </c>
      <c r="O755" s="48" t="str">
        <f>IFERROR(_xlfn.XLOOKUP(C755, Data!$A$2:$A$236, Data!$C$2:$C$236), "")</f>
        <v>Director Sir</v>
      </c>
    </row>
    <row r="756" spans="1:15" ht="42" customHeight="1" x14ac:dyDescent="0.35">
      <c r="A756" s="46" t="s">
        <v>406</v>
      </c>
      <c r="B756" s="111" t="s">
        <v>407</v>
      </c>
      <c r="C756" s="44" t="s">
        <v>68</v>
      </c>
      <c r="D756" s="45" t="s">
        <v>414</v>
      </c>
      <c r="E756" s="46" t="s">
        <v>408</v>
      </c>
      <c r="F756" s="33" t="s">
        <v>367</v>
      </c>
      <c r="G756" s="40">
        <v>46029</v>
      </c>
      <c r="H756" s="35">
        <f>79624.5+353930</f>
        <v>433554.5</v>
      </c>
      <c r="I756" s="36"/>
      <c r="J756" s="35">
        <f>SUM(Table1[[#This Row],[LC Value]:[Amd Value]])</f>
        <v>433554.5</v>
      </c>
      <c r="K756" s="36">
        <v>4.24</v>
      </c>
      <c r="L756" s="37">
        <f>18050+82000</f>
        <v>100050</v>
      </c>
      <c r="M756" s="47" t="s">
        <v>357</v>
      </c>
      <c r="N756" s="47" t="s">
        <v>356</v>
      </c>
      <c r="O756" s="48" t="str">
        <f>IFERROR(_xlfn.XLOOKUP(C756, Data!$A$2:$A$236, Data!$C$2:$C$236), "")</f>
        <v>Director Sir</v>
      </c>
    </row>
    <row r="757" spans="1:15" ht="42" customHeight="1" x14ac:dyDescent="0.35">
      <c r="A757" s="46" t="s">
        <v>389</v>
      </c>
      <c r="B757" s="111" t="s">
        <v>390</v>
      </c>
      <c r="C757" s="44" t="s">
        <v>199</v>
      </c>
      <c r="D757" s="45" t="s">
        <v>32</v>
      </c>
      <c r="E757" s="46" t="s">
        <v>391</v>
      </c>
      <c r="F757" s="33" t="s">
        <v>367</v>
      </c>
      <c r="G757" s="40">
        <v>46030</v>
      </c>
      <c r="H757" s="35">
        <v>4320</v>
      </c>
      <c r="I757" s="36"/>
      <c r="J757" s="35">
        <f>SUM(Table1[[#This Row],[LC Value]:[Amd Value]])</f>
        <v>4320</v>
      </c>
      <c r="K757" s="36">
        <v>3.4</v>
      </c>
      <c r="L757" s="58">
        <v>1200</v>
      </c>
      <c r="M757" s="47" t="s">
        <v>357</v>
      </c>
      <c r="N757" s="47" t="s">
        <v>356</v>
      </c>
      <c r="O757" s="48" t="str">
        <f>IFERROR(_xlfn.XLOOKUP(C757, Data!$A$2:$A$236, Data!$C$2:$C$236), "")</f>
        <v>MD. Sir</v>
      </c>
    </row>
    <row r="758" spans="1:15" ht="42" customHeight="1" x14ac:dyDescent="0.35">
      <c r="A758" s="46" t="s">
        <v>386</v>
      </c>
      <c r="B758" s="111" t="s">
        <v>387</v>
      </c>
      <c r="C758" s="44" t="s">
        <v>199</v>
      </c>
      <c r="D758" s="54" t="s">
        <v>353</v>
      </c>
      <c r="E758" s="46" t="s">
        <v>388</v>
      </c>
      <c r="F758" s="33" t="s">
        <v>367</v>
      </c>
      <c r="G758" s="40">
        <v>46029</v>
      </c>
      <c r="H758" s="35">
        <v>31625</v>
      </c>
      <c r="I758" s="36"/>
      <c r="J758" s="35">
        <f>SUM(Table1[[#This Row],[LC Value]:[Amd Value]])</f>
        <v>31625</v>
      </c>
      <c r="K758" s="36">
        <v>3.4</v>
      </c>
      <c r="L758" s="58">
        <v>13750</v>
      </c>
      <c r="M758" s="47" t="s">
        <v>357</v>
      </c>
      <c r="N758" s="47" t="s">
        <v>356</v>
      </c>
      <c r="O758" s="48" t="str">
        <f>IFERROR(_xlfn.XLOOKUP(C758, Data!$A$2:$A$236, Data!$C$2:$C$236), "")</f>
        <v>MD. Sir</v>
      </c>
    </row>
    <row r="759" spans="1:15" ht="42" customHeight="1" x14ac:dyDescent="0.35">
      <c r="A759" s="46" t="s">
        <v>383</v>
      </c>
      <c r="B759" s="111" t="s">
        <v>384</v>
      </c>
      <c r="C759" s="44" t="s">
        <v>199</v>
      </c>
      <c r="D759" s="54" t="s">
        <v>353</v>
      </c>
      <c r="E759" s="46" t="s">
        <v>385</v>
      </c>
      <c r="F759" s="33" t="s">
        <v>367</v>
      </c>
      <c r="G759" s="40">
        <v>46029</v>
      </c>
      <c r="H759" s="35">
        <f>13127.5+4987.5+4350+6627.5</f>
        <v>29092.5</v>
      </c>
      <c r="I759" s="36"/>
      <c r="J759" s="35">
        <f>SUM(Table1[[#This Row],[LC Value]:[Amd Value]])</f>
        <v>29092.5</v>
      </c>
      <c r="K759" s="36">
        <v>2.25</v>
      </c>
      <c r="L759" s="58">
        <v>5800</v>
      </c>
      <c r="M759" s="47" t="s">
        <v>357</v>
      </c>
      <c r="N759" s="47" t="s">
        <v>356</v>
      </c>
      <c r="O759" s="48" t="str">
        <f>IFERROR(_xlfn.XLOOKUP(C759, Data!$A$2:$A$236, Data!$C$2:$C$236), "")</f>
        <v>MD. Sir</v>
      </c>
    </row>
    <row r="760" spans="1:15" ht="42" customHeight="1" x14ac:dyDescent="0.35">
      <c r="A760" s="46" t="s">
        <v>380</v>
      </c>
      <c r="B760" s="111" t="s">
        <v>381</v>
      </c>
      <c r="C760" s="44" t="s">
        <v>199</v>
      </c>
      <c r="D760" s="54" t="s">
        <v>353</v>
      </c>
      <c r="E760" s="46" t="s">
        <v>382</v>
      </c>
      <c r="F760" s="33" t="s">
        <v>367</v>
      </c>
      <c r="G760" s="40">
        <v>46029</v>
      </c>
      <c r="H760" s="35">
        <v>44200</v>
      </c>
      <c r="I760" s="36"/>
      <c r="J760" s="35">
        <f>SUM(Table1[[#This Row],[LC Value]:[Amd Value]])</f>
        <v>44200</v>
      </c>
      <c r="K760" s="36">
        <v>3.4</v>
      </c>
      <c r="L760" s="58">
        <v>13000</v>
      </c>
      <c r="M760" s="47" t="s">
        <v>357</v>
      </c>
      <c r="N760" s="47" t="s">
        <v>356</v>
      </c>
      <c r="O760" s="48" t="str">
        <f>IFERROR(_xlfn.XLOOKUP(C760, Data!$A$2:$A$236, Data!$C$2:$C$236), "")</f>
        <v>MD. Sir</v>
      </c>
    </row>
    <row r="761" spans="1:15" ht="42" customHeight="1" x14ac:dyDescent="0.35">
      <c r="A761" s="46" t="s">
        <v>374</v>
      </c>
      <c r="B761" s="111" t="s">
        <v>375</v>
      </c>
      <c r="C761" s="44" t="s">
        <v>200</v>
      </c>
      <c r="D761" s="54" t="s">
        <v>135</v>
      </c>
      <c r="E761" s="46" t="s">
        <v>379</v>
      </c>
      <c r="F761" s="33" t="s">
        <v>367</v>
      </c>
      <c r="G761" s="40">
        <v>46029</v>
      </c>
      <c r="H761" s="35">
        <f>14580+54000</f>
        <v>68580</v>
      </c>
      <c r="I761" s="36"/>
      <c r="J761" s="35">
        <f>SUM(Table1[[#This Row],[LC Value]:[Amd Value]])</f>
        <v>68580</v>
      </c>
      <c r="K761" s="36">
        <v>2.65</v>
      </c>
      <c r="L761" s="58">
        <v>4700</v>
      </c>
      <c r="M761" s="47" t="s">
        <v>357</v>
      </c>
      <c r="N761" s="47" t="s">
        <v>356</v>
      </c>
      <c r="O761" s="48" t="str">
        <f>IFERROR(_xlfn.XLOOKUP(C761, Data!$A$2:$A$236, Data!$C$2:$C$236), "")</f>
        <v>MD. Sir</v>
      </c>
    </row>
    <row r="762" spans="1:15" ht="42" customHeight="1" x14ac:dyDescent="0.35">
      <c r="A762" s="59" t="s">
        <v>372</v>
      </c>
      <c r="B762" s="112" t="s">
        <v>373</v>
      </c>
      <c r="C762" s="60" t="s">
        <v>199</v>
      </c>
      <c r="D762" s="61" t="s">
        <v>98</v>
      </c>
      <c r="E762" s="59" t="s">
        <v>378</v>
      </c>
      <c r="F762" s="62" t="s">
        <v>367</v>
      </c>
      <c r="G762" s="63">
        <v>46029</v>
      </c>
      <c r="H762" s="64">
        <v>12755</v>
      </c>
      <c r="I762" s="65"/>
      <c r="J762" s="64">
        <f>SUM(Table1[[#This Row],[LC Value]:[Amd Value]])</f>
        <v>12755</v>
      </c>
      <c r="K762" s="65">
        <v>2.65</v>
      </c>
      <c r="L762" s="66">
        <v>4700</v>
      </c>
      <c r="M762" s="67" t="s">
        <v>357</v>
      </c>
      <c r="N762" s="67" t="s">
        <v>356</v>
      </c>
      <c r="O762" s="68" t="str">
        <f>IFERROR(_xlfn.XLOOKUP(C762, Data!$A$2:$A$236, Data!$C$2:$C$236), "")</f>
        <v>MD. Sir</v>
      </c>
    </row>
    <row r="763" spans="1:15" ht="42" customHeight="1" x14ac:dyDescent="0.35">
      <c r="A763" s="59" t="s">
        <v>370</v>
      </c>
      <c r="B763" s="113" t="s">
        <v>371</v>
      </c>
      <c r="C763" s="60" t="s">
        <v>199</v>
      </c>
      <c r="D763" s="61" t="s">
        <v>32</v>
      </c>
      <c r="E763" s="59" t="s">
        <v>377</v>
      </c>
      <c r="F763" s="62" t="s">
        <v>367</v>
      </c>
      <c r="G763" s="63">
        <v>46029</v>
      </c>
      <c r="H763" s="64">
        <f>3842.5+5275+22942.5+34097.5</f>
        <v>66157.5</v>
      </c>
      <c r="I763" s="65"/>
      <c r="J763" s="64">
        <f>SUM(Table1[[#This Row],[LC Value]:[Amd Value]])</f>
        <v>66157.5</v>
      </c>
      <c r="K763" s="65">
        <v>2.65</v>
      </c>
      <c r="L763" s="66">
        <f>1450+1750+8650+14550</f>
        <v>26400</v>
      </c>
      <c r="M763" s="67" t="s">
        <v>357</v>
      </c>
      <c r="N763" s="67" t="s">
        <v>356</v>
      </c>
      <c r="O763" s="68" t="str">
        <f>IFERROR(_xlfn.XLOOKUP(C763, Data!$A$2:$A$236, Data!$C$2:$C$236), "")</f>
        <v>MD. Sir</v>
      </c>
    </row>
    <row r="764" spans="1:15" ht="42" customHeight="1" x14ac:dyDescent="0.35">
      <c r="A764" s="59" t="s">
        <v>368</v>
      </c>
      <c r="B764" s="113" t="s">
        <v>369</v>
      </c>
      <c r="C764" s="60" t="s">
        <v>199</v>
      </c>
      <c r="D764" s="61" t="s">
        <v>32</v>
      </c>
      <c r="E764" s="59" t="s">
        <v>376</v>
      </c>
      <c r="F764" s="62" t="s">
        <v>367</v>
      </c>
      <c r="G764" s="63">
        <v>46029</v>
      </c>
      <c r="H764" s="64">
        <f>29250+36835+34465+79465+1717.5</f>
        <v>181732.5</v>
      </c>
      <c r="I764" s="65"/>
      <c r="J764" s="64">
        <f>SUM(Table1[[#This Row],[LC Value]:[Amd Value]])</f>
        <v>181732.5</v>
      </c>
      <c r="K764" s="65">
        <v>2.2999999999999998</v>
      </c>
      <c r="L764" s="66">
        <f>21950+3350+7650+8400+9550</f>
        <v>50900</v>
      </c>
      <c r="M764" s="67" t="s">
        <v>357</v>
      </c>
      <c r="N764" s="67" t="s">
        <v>356</v>
      </c>
      <c r="O764" s="68" t="str">
        <f>IFERROR(_xlfn.XLOOKUP(C764, Data!$A$2:$A$236, Data!$C$2:$C$236), "")</f>
        <v>MD. Sir</v>
      </c>
    </row>
    <row r="765" spans="1:15" ht="42" customHeight="1" x14ac:dyDescent="0.35">
      <c r="A765" s="59" t="s">
        <v>364</v>
      </c>
      <c r="B765" s="114" t="s">
        <v>365</v>
      </c>
      <c r="C765" s="60" t="s">
        <v>199</v>
      </c>
      <c r="D765" s="61" t="s">
        <v>353</v>
      </c>
      <c r="E765" s="59" t="s">
        <v>366</v>
      </c>
      <c r="F765" s="62" t="s">
        <v>367</v>
      </c>
      <c r="G765" s="63">
        <v>46029</v>
      </c>
      <c r="H765" s="64">
        <f>49597.5+7590+20007.5+22032.5+21695</f>
        <v>120922.5</v>
      </c>
      <c r="I765" s="65"/>
      <c r="J765" s="64">
        <f>SUM(Table1[[#This Row],[LC Value]:[Amd Value]])</f>
        <v>120922.5</v>
      </c>
      <c r="K765" s="65">
        <v>2.2999999999999998</v>
      </c>
      <c r="L765" s="66">
        <f>21950+3350+7650+8400+9550</f>
        <v>50900</v>
      </c>
      <c r="M765" s="67" t="s">
        <v>357</v>
      </c>
      <c r="N765" s="67" t="s">
        <v>356</v>
      </c>
      <c r="O765" s="68" t="str">
        <f>IFERROR(_xlfn.XLOOKUP(C765, Data!$A$2:$A$236, Data!$C$2:$C$236), "")</f>
        <v>MD. Sir</v>
      </c>
    </row>
    <row r="766" spans="1:15" ht="42" customHeight="1" x14ac:dyDescent="0.35">
      <c r="A766" s="59" t="s">
        <v>351</v>
      </c>
      <c r="B766" s="61" t="s">
        <v>352</v>
      </c>
      <c r="C766" s="60" t="s">
        <v>199</v>
      </c>
      <c r="D766" s="61" t="s">
        <v>353</v>
      </c>
      <c r="E766" s="59" t="s">
        <v>355</v>
      </c>
      <c r="F766" s="62" t="s">
        <v>343</v>
      </c>
      <c r="G766" s="63">
        <v>46029</v>
      </c>
      <c r="H766" s="64">
        <v>32640</v>
      </c>
      <c r="I766" s="65"/>
      <c r="J766" s="64">
        <f>SUM(Table1[[#This Row],[LC Value]:[Amd Value]])</f>
        <v>32640</v>
      </c>
      <c r="K766" s="65">
        <v>2.5499999999999998</v>
      </c>
      <c r="L766" s="66">
        <v>12800</v>
      </c>
      <c r="M766" s="67" t="s">
        <v>357</v>
      </c>
      <c r="N766" s="67" t="s">
        <v>356</v>
      </c>
      <c r="O766" s="68" t="str">
        <f>IFERROR(_xlfn.XLOOKUP(C766, Data!$A$2:$A$236, Data!$C$2:$C$236), "")</f>
        <v>MD. Sir</v>
      </c>
    </row>
    <row r="767" spans="1:15" ht="42" customHeight="1" x14ac:dyDescent="0.35">
      <c r="A767" s="59" t="s">
        <v>346</v>
      </c>
      <c r="B767" s="61" t="s">
        <v>347</v>
      </c>
      <c r="C767" s="60" t="s">
        <v>195</v>
      </c>
      <c r="D767" s="61" t="s">
        <v>91</v>
      </c>
      <c r="E767" s="59" t="s">
        <v>348</v>
      </c>
      <c r="F767" s="69" t="s">
        <v>343</v>
      </c>
      <c r="G767" s="63">
        <v>46030</v>
      </c>
      <c r="H767" s="64">
        <v>40300</v>
      </c>
      <c r="I767" s="65"/>
      <c r="J767" s="64">
        <f>SUM(Table1[[#This Row],[LC Value]:[Amd Value]])</f>
        <v>40300</v>
      </c>
      <c r="K767" s="65">
        <v>3.1</v>
      </c>
      <c r="L767" s="66">
        <v>13000</v>
      </c>
      <c r="M767" s="67" t="s">
        <v>349</v>
      </c>
      <c r="N767" s="67" t="s">
        <v>350</v>
      </c>
      <c r="O767" s="68" t="str">
        <f>IFERROR(_xlfn.XLOOKUP(C767, Data!$A$2:$A$236, Data!$C$2:$C$236), "")</f>
        <v>Mr. Lipu Sir</v>
      </c>
    </row>
    <row r="768" spans="1:15" ht="42" customHeight="1" x14ac:dyDescent="0.35">
      <c r="A768" s="70" t="s">
        <v>341</v>
      </c>
      <c r="B768" s="71" t="s">
        <v>342</v>
      </c>
      <c r="C768" s="72" t="s">
        <v>97</v>
      </c>
      <c r="D768" s="71" t="s">
        <v>98</v>
      </c>
      <c r="E768" s="70" t="s">
        <v>354</v>
      </c>
      <c r="F768" s="73" t="s">
        <v>343</v>
      </c>
      <c r="G768" s="74">
        <v>46030</v>
      </c>
      <c r="H768" s="75">
        <v>61305</v>
      </c>
      <c r="I768" s="76"/>
      <c r="J768" s="75">
        <f>SUM(Table1[[#This Row],[LC Value]:[Amd Value]])</f>
        <v>61305</v>
      </c>
      <c r="K768" s="76">
        <v>3.05</v>
      </c>
      <c r="L768" s="77">
        <v>20100</v>
      </c>
      <c r="M768" s="78" t="s">
        <v>344</v>
      </c>
      <c r="N768" s="78" t="s">
        <v>345</v>
      </c>
      <c r="O768" s="79" t="str">
        <f>IFERROR(_xlfn.XLOOKUP(C768, Data!$A$2:$A$236, Data!$C$2:$C$236), "")</f>
        <v>Mr. Reza Sir</v>
      </c>
    </row>
    <row r="769" spans="1:15" ht="42" customHeight="1" x14ac:dyDescent="0.35">
      <c r="A769" s="139"/>
      <c r="B769" s="140"/>
      <c r="C769" s="140"/>
      <c r="D769" s="140"/>
      <c r="E769" s="141"/>
      <c r="F769" s="142"/>
      <c r="G769" s="143"/>
      <c r="H769" s="147"/>
      <c r="I769" s="147"/>
      <c r="J769" s="147"/>
      <c r="K769" s="148"/>
      <c r="L769" s="144"/>
      <c r="M769" s="145"/>
      <c r="N769" s="145"/>
      <c r="O769" s="146"/>
    </row>
  </sheetData>
  <phoneticPr fontId="2" type="noConversion"/>
  <conditionalFormatting sqref="A681:A1048576 A1">
    <cfRule type="duplicateValues" dxfId="44" priority="45"/>
  </conditionalFormatting>
  <conditionalFormatting sqref="B2:B288">
    <cfRule type="duplicateValues" dxfId="43" priority="2"/>
  </conditionalFormatting>
  <conditionalFormatting sqref="B289">
    <cfRule type="duplicateValues" dxfId="42" priority="5"/>
  </conditionalFormatting>
  <conditionalFormatting sqref="B290">
    <cfRule type="duplicateValues" dxfId="41" priority="8"/>
  </conditionalFormatting>
  <conditionalFormatting sqref="B291">
    <cfRule type="duplicateValues" dxfId="40" priority="11"/>
  </conditionalFormatting>
  <conditionalFormatting sqref="B292">
    <cfRule type="duplicateValues" dxfId="39" priority="14"/>
  </conditionalFormatting>
  <conditionalFormatting sqref="B293:B436">
    <cfRule type="duplicateValues" dxfId="38" priority="47"/>
  </conditionalFormatting>
  <conditionalFormatting sqref="B437:B449">
    <cfRule type="duplicateValues" dxfId="37" priority="21"/>
  </conditionalFormatting>
  <conditionalFormatting sqref="B450:B590">
    <cfRule type="duplicateValues" dxfId="36" priority="24"/>
  </conditionalFormatting>
  <conditionalFormatting sqref="B591">
    <cfRule type="duplicateValues" dxfId="35" priority="27"/>
  </conditionalFormatting>
  <conditionalFormatting sqref="B592:B1048576 B1">
    <cfRule type="duplicateValues" dxfId="34" priority="44"/>
  </conditionalFormatting>
  <conditionalFormatting sqref="E2:E288">
    <cfRule type="duplicateValues" dxfId="33" priority="3"/>
  </conditionalFormatting>
  <conditionalFormatting sqref="E289">
    <cfRule type="duplicateValues" dxfId="31" priority="6"/>
  </conditionalFormatting>
  <conditionalFormatting sqref="E290">
    <cfRule type="duplicateValues" dxfId="30" priority="9"/>
  </conditionalFormatting>
  <conditionalFormatting sqref="E291">
    <cfRule type="duplicateValues" dxfId="29" priority="12"/>
  </conditionalFormatting>
  <conditionalFormatting sqref="E292">
    <cfRule type="duplicateValues" dxfId="28" priority="15"/>
  </conditionalFormatting>
  <conditionalFormatting sqref="E293:E436">
    <cfRule type="duplicateValues" dxfId="27" priority="49"/>
  </conditionalFormatting>
  <conditionalFormatting sqref="E437:E449">
    <cfRule type="duplicateValues" dxfId="26" priority="20"/>
  </conditionalFormatting>
  <conditionalFormatting sqref="E450:E590">
    <cfRule type="duplicateValues" dxfId="25" priority="23"/>
  </conditionalFormatting>
  <conditionalFormatting sqref="E591">
    <cfRule type="duplicateValues" dxfId="24" priority="26"/>
  </conditionalFormatting>
  <conditionalFormatting sqref="E592:E1048576 E1">
    <cfRule type="duplicateValues" dxfId="23" priority="43"/>
  </conditionalFormatting>
  <dataValidations count="1">
    <dataValidation type="custom" allowBlank="1" showInputMessage="1" showErrorMessage="1" sqref="A697" xr:uid="{00000000-0002-0000-0000-000000000000}">
      <formula1>A697&lt;&gt;MAX(A698:$A$1048576)+1</formula1>
    </dataValidation>
  </dataValidations>
  <pageMargins left="0.25" right="0.25" top="1.05" bottom="0.75" header="0.5" footer="0.3"/>
  <pageSetup paperSize="9" scale="58" fitToHeight="0" orientation="landscape" r:id="rId1"/>
  <headerFooter>
    <oddHeader>&amp;L&amp;G&amp;C&amp;"-,Bold"&amp;28&amp;KC00000LC REG&amp;K01+000|&amp;KC00000NZTL&amp;K000000|&amp;KC000002026&amp;R&amp;D</oddHeader>
  </headerFooter>
  <ignoredErrors>
    <ignoredError sqref="B742:D742 H742:O742 B716:C716 F716 F742 H716:O716" numberStoredAsText="1"/>
  </ignoredErrors>
  <legacyDrawing r:id="rId2"/>
  <legacyDrawingHF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96740B8-1FCD-41A3-AF4C-23D022EC37E3}">
            <xm:f>AND($E2&lt;&gt;"", SUMPRODUCT(--(Data!$E$2:$E$500&lt;&gt;""), --(Data!$F$2:$F$500&lt;&gt;""), --ISNUMBER(SEARCH(Data!$E$2:$E$500, $D2)), --(UPPER(IF(ISNUMBER(Data!$F$2:$F$500), TEXT(Data!$F$2:$F$500,"0000"), TRIM(Data!$F$2:$F$500))) = UPPER(LEFT(TRIM($E2),4)))) = 0)</xm:f>
            <x14:dxf>
              <fill>
                <patternFill>
                  <bgColor rgb="FFFF7D7D"/>
                </patternFill>
              </fill>
            </x14:dxf>
          </x14:cfRule>
          <xm:sqref>E2:E768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0">
        <x14:dataValidation type="list" allowBlank="1" showInputMessage="1" xr:uid="{00000000-0002-0000-0000-000001000000}">
          <x14:formula1>
            <xm:f>Data!$B$2:$B$171</xm:f>
          </x14:formula1>
          <xm:sqref>D767:D768</xm:sqref>
        </x14:dataValidation>
        <x14:dataValidation type="list" allowBlank="1" showInputMessage="1" xr:uid="{00000000-0002-0000-0000-000002000000}">
          <x14:formula1>
            <xm:f>Data!$A$2:$A$171</xm:f>
          </x14:formula1>
          <xm:sqref>C673:C702 C706:C711 C730:C768 C770:C1048576</xm:sqref>
        </x14:dataValidation>
        <x14:dataValidation type="list" allowBlank="1" showInputMessage="1" xr:uid="{00000000-0002-0000-0000-000003000000}">
          <x14:formula1>
            <xm:f>Data!$B$2:$B$172</xm:f>
          </x14:formula1>
          <xm:sqref>D657:D766</xm:sqref>
        </x14:dataValidation>
        <x14:dataValidation type="list" allowBlank="1" showInputMessage="1" xr:uid="{00000000-0002-0000-0000-000004000000}">
          <x14:formula1>
            <xm:f>Data!$A$2:$A$172</xm:f>
          </x14:formula1>
          <xm:sqref>C712:C729</xm:sqref>
        </x14:dataValidation>
        <x14:dataValidation type="list" allowBlank="1" showInputMessage="1" xr:uid="{00000000-0002-0000-0000-000005000000}">
          <x14:formula1>
            <xm:f>Data!$A$2:$A$174</xm:f>
          </x14:formula1>
          <xm:sqref>C703:C705</xm:sqref>
        </x14:dataValidation>
        <x14:dataValidation type="list" allowBlank="1" showInputMessage="1" xr:uid="{00000000-0002-0000-0000-000006000000}">
          <x14:formula1>
            <xm:f>Data!$A$2:$A$175</xm:f>
          </x14:formula1>
          <xm:sqref>C657:C672</xm:sqref>
        </x14:dataValidation>
        <x14:dataValidation type="list" allowBlank="1" showInputMessage="1" xr:uid="{00000000-0002-0000-0000-000007000000}">
          <x14:formula1>
            <xm:f>Data!$A$2:$A$176</xm:f>
          </x14:formula1>
          <xm:sqref>C638:C656</xm:sqref>
        </x14:dataValidation>
        <x14:dataValidation type="list" allowBlank="1" showInputMessage="1" xr:uid="{00000000-0002-0000-0000-000008000000}">
          <x14:formula1>
            <xm:f>Data!$B$2:$B$176</xm:f>
          </x14:formula1>
          <xm:sqref>D471:D656</xm:sqref>
        </x14:dataValidation>
        <x14:dataValidation type="list" allowBlank="1" showInputMessage="1" xr:uid="{00000000-0002-0000-0000-000009000000}">
          <x14:formula1>
            <xm:f>Data!$A$2:$A$177</xm:f>
          </x14:formula1>
          <xm:sqref>C597:C637</xm:sqref>
        </x14:dataValidation>
        <x14:dataValidation type="list" allowBlank="1" showInputMessage="1" xr:uid="{00000000-0002-0000-0000-00000A000000}">
          <x14:formula1>
            <xm:f>Data!$A$2:$A$178</xm:f>
          </x14:formula1>
          <xm:sqref>C587:C596</xm:sqref>
        </x14:dataValidation>
        <x14:dataValidation type="list" allowBlank="1" showInputMessage="1" xr:uid="{00000000-0002-0000-0000-00000B000000}">
          <x14:formula1>
            <xm:f>Data!$A$2:$A$179</xm:f>
          </x14:formula1>
          <xm:sqref>C568:C586</xm:sqref>
        </x14:dataValidation>
        <x14:dataValidation type="list" allowBlank="1" showInputMessage="1" xr:uid="{00000000-0002-0000-0000-00000C000000}">
          <x14:formula1>
            <xm:f>Data!$A$2:$A$180</xm:f>
          </x14:formula1>
          <xm:sqref>C567</xm:sqref>
        </x14:dataValidation>
        <x14:dataValidation type="list" allowBlank="1" showInputMessage="1" xr:uid="{00000000-0002-0000-0000-00000D000000}">
          <x14:formula1>
            <xm:f>Data!$A$2:$A$181</xm:f>
          </x14:formula1>
          <xm:sqref>C558:C566</xm:sqref>
        </x14:dataValidation>
        <x14:dataValidation type="list" allowBlank="1" showInputMessage="1" xr:uid="{00000000-0002-0000-0000-00000E000000}">
          <x14:formula1>
            <xm:f>Data!$A$2:$A$184</xm:f>
          </x14:formula1>
          <xm:sqref>C535:C553</xm:sqref>
        </x14:dataValidation>
        <x14:dataValidation type="list" allowBlank="1" showInputMessage="1" xr:uid="{00000000-0002-0000-0000-00000F000000}">
          <x14:formula1>
            <xm:f>Data!$A$2:$A$186</xm:f>
          </x14:formula1>
          <xm:sqref>C504:C527</xm:sqref>
        </x14:dataValidation>
        <x14:dataValidation type="list" allowBlank="1" showInputMessage="1" xr:uid="{00000000-0002-0000-0000-000010000000}">
          <x14:formula1>
            <xm:f>Data!$A$2:$A$187</xm:f>
          </x14:formula1>
          <xm:sqref>C490:C503</xm:sqref>
        </x14:dataValidation>
        <x14:dataValidation type="list" allowBlank="1" showInputMessage="1" xr:uid="{00000000-0002-0000-0000-000011000000}">
          <x14:formula1>
            <xm:f>Data!$A$2:$A$188</xm:f>
          </x14:formula1>
          <xm:sqref>C441:C489</xm:sqref>
        </x14:dataValidation>
        <x14:dataValidation type="list" allowBlank="1" showInputMessage="1" xr:uid="{00000000-0002-0000-0000-000012000000}">
          <x14:formula1>
            <xm:f>Data!$B$2:$B$188</xm:f>
          </x14:formula1>
          <xm:sqref>D435:D470</xm:sqref>
        </x14:dataValidation>
        <x14:dataValidation type="list" allowBlank="1" showInputMessage="1" xr:uid="{00000000-0002-0000-0000-000013000000}">
          <x14:formula1>
            <xm:f>Data!$A$2:$A$189</xm:f>
          </x14:formula1>
          <xm:sqref>C435:C440</xm:sqref>
        </x14:dataValidation>
        <x14:dataValidation type="list" allowBlank="1" showInputMessage="1" xr:uid="{00000000-0002-0000-0000-000014000000}">
          <x14:formula1>
            <xm:f>Data!$A$2:$A$190</xm:f>
          </x14:formula1>
          <xm:sqref>C415:C434</xm:sqref>
        </x14:dataValidation>
        <x14:dataValidation type="list" allowBlank="1" showInputMessage="1" xr:uid="{00000000-0002-0000-0000-000015000000}">
          <x14:formula1>
            <xm:f>Data!$A$2:$A$191</xm:f>
          </x14:formula1>
          <xm:sqref>C405:C414</xm:sqref>
        </x14:dataValidation>
        <x14:dataValidation type="list" allowBlank="1" showInputMessage="1" xr:uid="{00000000-0002-0000-0000-000016000000}">
          <x14:formula1>
            <xm:f>Data!$B$2:$B$190</xm:f>
          </x14:formula1>
          <xm:sqref>D134:D434</xm:sqref>
        </x14:dataValidation>
        <x14:dataValidation type="list" allowBlank="1" showInputMessage="1" xr:uid="{00000000-0002-0000-0000-000017000000}">
          <x14:formula1>
            <xm:f>Data!$A$2:$A$192</xm:f>
          </x14:formula1>
          <xm:sqref>C401:C404</xm:sqref>
        </x14:dataValidation>
        <x14:dataValidation type="list" allowBlank="1" showInputMessage="1" xr:uid="{00000000-0002-0000-0000-000018000000}">
          <x14:formula1>
            <xm:f>Data!$A$2:$A$193</xm:f>
          </x14:formula1>
          <xm:sqref>C371:C400</xm:sqref>
        </x14:dataValidation>
        <x14:dataValidation type="list" allowBlank="1" showInputMessage="1" xr:uid="{00000000-0002-0000-0000-000019000000}">
          <x14:formula1>
            <xm:f>Data!$A$2:$A$194</xm:f>
          </x14:formula1>
          <xm:sqref>C362:C370</xm:sqref>
        </x14:dataValidation>
        <x14:dataValidation type="list" allowBlank="1" showInputMessage="1" xr:uid="{00000000-0002-0000-0000-00001A000000}">
          <x14:formula1>
            <xm:f>Data!$A$2:$A$196</xm:f>
          </x14:formula1>
          <xm:sqref>C310:C361</xm:sqref>
        </x14:dataValidation>
        <x14:dataValidation type="list" allowBlank="1" showInputMessage="1" xr:uid="{00000000-0002-0000-0000-00001C000000}">
          <x14:formula1>
            <xm:f>Data!$A$2:$A$197</xm:f>
          </x14:formula1>
          <xm:sqref>C273:C309</xm:sqref>
        </x14:dataValidation>
        <x14:dataValidation type="list" allowBlank="1" showInputMessage="1" xr:uid="{787905E5-4F7D-48FE-AF6E-EDAC761C3A75}">
          <x14:formula1>
            <xm:f>Data!$A$2:$A$198</xm:f>
          </x14:formula1>
          <xm:sqref>C268:C272</xm:sqref>
        </x14:dataValidation>
        <x14:dataValidation type="list" allowBlank="1" showInputMessage="1" xr:uid="{C1AE5093-135F-4A79-B748-2A3FD6CDC089}">
          <x14:formula1>
            <xm:f>Data!$A$2:$A$199</xm:f>
          </x14:formula1>
          <xm:sqref>C203:C267</xm:sqref>
        </x14:dataValidation>
        <x14:dataValidation type="list" allowBlank="1" showInputMessage="1" xr:uid="{D3E75CCB-3234-40F6-B1A2-DED21CE8C202}">
          <x14:formula1>
            <xm:f>Data!$A$2:$A$200</xm:f>
          </x14:formula1>
          <xm:sqref>C187:C202</xm:sqref>
        </x14:dataValidation>
        <x14:dataValidation type="list" allowBlank="1" showInputMessage="1" xr:uid="{ACF70BA6-A458-49C7-84EB-C25ECA8539BF}">
          <x14:formula1>
            <xm:f>Data!$A$2:$A$201</xm:f>
          </x14:formula1>
          <xm:sqref>C173:C186</xm:sqref>
        </x14:dataValidation>
        <x14:dataValidation type="list" allowBlank="1" showInputMessage="1" xr:uid="{C2588852-0AA0-47AB-8519-5F09D5066BC4}">
          <x14:formula1>
            <xm:f>Data!$A$2:$A$202</xm:f>
          </x14:formula1>
          <xm:sqref>C97:C172</xm:sqref>
        </x14:dataValidation>
        <x14:dataValidation type="list" allowBlank="1" showInputMessage="1" xr:uid="{CF7C3B12-68DB-48A3-91CC-9CFCAE6A0800}">
          <x14:formula1>
            <xm:f>Data!$B$2:$B$203</xm:f>
          </x14:formula1>
          <xm:sqref>D2:D133</xm:sqref>
        </x14:dataValidation>
        <x14:dataValidation type="list" allowBlank="1" showInputMessage="1" xr:uid="{75BAC4B4-8A26-4E82-8088-7ABDC7F8B69E}">
          <x14:formula1>
            <xm:f>Data!$A$2:$A$204</xm:f>
          </x14:formula1>
          <xm:sqref>C86:C96</xm:sqref>
        </x14:dataValidation>
        <x14:dataValidation type="list" allowBlank="1" showInputMessage="1" xr:uid="{FCC3EDDF-65E5-45C8-88A1-E3396F6317FD}">
          <x14:formula1>
            <xm:f>Data!$A$2:$A$205</xm:f>
          </x14:formula1>
          <xm:sqref>C19:C85</xm:sqref>
        </x14:dataValidation>
        <x14:dataValidation type="list" allowBlank="1" showInputMessage="1" xr:uid="{C9ACE165-09BC-454B-B85B-65F059A28D23}">
          <x14:formula1>
            <xm:f>Data!$A$2:$A$206</xm:f>
          </x14:formula1>
          <xm:sqref>C13:C18</xm:sqref>
        </x14:dataValidation>
        <x14:dataValidation type="list" allowBlank="1" showInputMessage="1" xr:uid="{979E5999-8D3F-4B06-B943-C59985B8A2C5}">
          <x14:formula1>
            <xm:f>Data!$A$2:$A$207</xm:f>
          </x14:formula1>
          <xm:sqref>C9:C12</xm:sqref>
        </x14:dataValidation>
        <x14:dataValidation type="list" allowBlank="1" showInputMessage="1" xr:uid="{00000000-0002-0000-0000-00001B000000}">
          <x14:formula1>
            <xm:f>Data!$A$2:$A$209</xm:f>
          </x14:formula1>
          <xm:sqref>C554:C557 C528:C534</xm:sqref>
        </x14:dataValidation>
        <x14:dataValidation type="list" allowBlank="1" showInputMessage="1" xr:uid="{29287CB9-5960-4802-8E47-426504944270}">
          <x14:formula1>
            <xm:f>Data!$A$2:$A$208</xm:f>
          </x14:formula1>
          <xm:sqref>C2:C8</xm:sqref>
        </x14:dataValidation>
        <x14:dataValidation type="custom" allowBlank="1" showInputMessage="1" showErrorMessage="1" xr:uid="{00000000-0002-0000-0000-00001D000000}">
          <x14:formula1>
            <xm:f>IF(D2="",TRUE, IFERROR(   LEFT(E2,4)=VLOOKUP(TRUE,INDEX(ISNUMBER(SEARCH(Data!E$2:E$100,D2))*1,0),Data!F$2:F$100,0), TRUE))</xm:f>
          </x14:formula1>
          <xm:sqref>E2:E768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O221"/>
  <sheetViews>
    <sheetView showRuler="0" view="pageBreakPreview" topLeftCell="A212" zoomScaleNormal="115" zoomScaleSheetLayoutView="100" workbookViewId="0">
      <selection activeCell="M2" sqref="M2"/>
    </sheetView>
  </sheetViews>
  <sheetFormatPr defaultRowHeight="16.5" x14ac:dyDescent="0.35"/>
  <cols>
    <col min="1" max="1" width="6.5546875" style="27" bestFit="1" customWidth="1"/>
    <col min="2" max="2" width="9.44140625" style="1" customWidth="1"/>
    <col min="3" max="3" width="24" style="1" customWidth="1"/>
    <col min="4" max="4" width="20.109375" style="1" customWidth="1"/>
    <col min="5" max="5" width="14.44140625" style="18" customWidth="1"/>
    <col min="6" max="6" width="9" style="2" bestFit="1" customWidth="1"/>
    <col min="7" max="7" width="12" style="3" bestFit="1" customWidth="1"/>
    <col min="8" max="8" width="14" style="4" customWidth="1"/>
    <col min="9" max="9" width="12.5546875" style="4" customWidth="1"/>
    <col min="10" max="10" width="14" style="4" customWidth="1"/>
    <col min="11" max="11" width="11.88671875" style="4" customWidth="1"/>
    <col min="12" max="12" width="10.88671875" style="5" customWidth="1"/>
    <col min="13" max="13" width="14.5546875" style="3" bestFit="1" customWidth="1"/>
    <col min="14" max="14" width="11.33203125" style="3" bestFit="1" customWidth="1"/>
    <col min="15" max="15" width="16.5546875" customWidth="1"/>
  </cols>
  <sheetData>
    <row r="1" spans="1:15" s="122" customFormat="1" ht="15" x14ac:dyDescent="0.25">
      <c r="A1" s="115" t="s">
        <v>7</v>
      </c>
      <c r="B1" s="116" t="s">
        <v>0</v>
      </c>
      <c r="C1" s="116" t="s">
        <v>1</v>
      </c>
      <c r="D1" s="116" t="s">
        <v>2</v>
      </c>
      <c r="E1" s="117" t="s">
        <v>11</v>
      </c>
      <c r="F1" s="118" t="s">
        <v>10</v>
      </c>
      <c r="G1" s="119" t="s">
        <v>9</v>
      </c>
      <c r="H1" s="120" t="s">
        <v>13</v>
      </c>
      <c r="I1" s="120" t="s">
        <v>14</v>
      </c>
      <c r="J1" s="120" t="s">
        <v>12</v>
      </c>
      <c r="K1" s="120" t="s">
        <v>3</v>
      </c>
      <c r="L1" s="121" t="s">
        <v>4</v>
      </c>
      <c r="M1" s="119" t="s">
        <v>5</v>
      </c>
      <c r="N1" s="119" t="s">
        <v>6</v>
      </c>
      <c r="O1" s="115" t="s">
        <v>8</v>
      </c>
    </row>
    <row r="2" spans="1:15" ht="45" x14ac:dyDescent="0.35">
      <c r="A2" s="80">
        <f t="shared" ref="A2:A189" si="0">A3+1</f>
        <v>220</v>
      </c>
      <c r="B2" s="81" t="s">
        <v>2864</v>
      </c>
      <c r="C2" s="54" t="s">
        <v>199</v>
      </c>
      <c r="D2" s="54" t="s">
        <v>353</v>
      </c>
      <c r="E2" s="50" t="s">
        <v>2865</v>
      </c>
      <c r="F2" s="82" t="s">
        <v>2638</v>
      </c>
      <c r="G2" s="90">
        <v>46198</v>
      </c>
      <c r="H2" s="83">
        <v>83070</v>
      </c>
      <c r="I2" s="83"/>
      <c r="J2" s="83">
        <f>SUM(Table14[[#This Row],[LC Value]:[Amd Value]])</f>
        <v>83070</v>
      </c>
      <c r="K2" s="83">
        <v>2.8</v>
      </c>
      <c r="L2" s="84">
        <v>28700</v>
      </c>
      <c r="M2" s="85" t="s">
        <v>2589</v>
      </c>
      <c r="N2" s="85" t="s">
        <v>2768</v>
      </c>
      <c r="O2" s="86" t="str">
        <f>IFERROR(_xlfn.XLOOKUP(C2, Data!$A$2:$A$236, Data!$C$2:$C$236), "")</f>
        <v>MD. Sir</v>
      </c>
    </row>
    <row r="3" spans="1:15" ht="45" x14ac:dyDescent="0.35">
      <c r="A3" s="80">
        <f t="shared" si="0"/>
        <v>219</v>
      </c>
      <c r="B3" s="81" t="s">
        <v>2862</v>
      </c>
      <c r="C3" s="54" t="s">
        <v>199</v>
      </c>
      <c r="D3" s="54" t="s">
        <v>353</v>
      </c>
      <c r="E3" s="50" t="s">
        <v>2863</v>
      </c>
      <c r="F3" s="82" t="s">
        <v>2638</v>
      </c>
      <c r="G3" s="90">
        <v>46198</v>
      </c>
      <c r="H3" s="83">
        <v>14420</v>
      </c>
      <c r="I3" s="83"/>
      <c r="J3" s="83">
        <f>SUM(Table14[[#This Row],[LC Value]:[Amd Value]])</f>
        <v>14420</v>
      </c>
      <c r="K3" s="83">
        <v>2.8</v>
      </c>
      <c r="L3" s="84">
        <v>5150</v>
      </c>
      <c r="M3" s="85" t="s">
        <v>2589</v>
      </c>
      <c r="N3" s="85" t="s">
        <v>2768</v>
      </c>
      <c r="O3" s="86" t="str">
        <f>IFERROR(_xlfn.XLOOKUP(C3, Data!$A$2:$A$236, Data!$C$2:$C$236), "")</f>
        <v>MD. Sir</v>
      </c>
    </row>
    <row r="4" spans="1:15" ht="57" x14ac:dyDescent="0.35">
      <c r="A4" s="80">
        <f t="shared" si="0"/>
        <v>218</v>
      </c>
      <c r="B4" s="81" t="s">
        <v>2860</v>
      </c>
      <c r="C4" s="54" t="s">
        <v>200</v>
      </c>
      <c r="D4" s="54" t="s">
        <v>98</v>
      </c>
      <c r="E4" s="50" t="s">
        <v>2861</v>
      </c>
      <c r="F4" s="82" t="s">
        <v>2638</v>
      </c>
      <c r="G4" s="90">
        <v>46198</v>
      </c>
      <c r="H4" s="83">
        <f>33740+58007.5+15600+126315</f>
        <v>233662.5</v>
      </c>
      <c r="I4" s="83"/>
      <c r="J4" s="83">
        <f>SUM(Table14[[#This Row],[LC Value]:[Amd Value]])</f>
        <v>233662.5</v>
      </c>
      <c r="K4" s="83">
        <v>2.8</v>
      </c>
      <c r="L4" s="84">
        <f>12050+24700+6500+35650</f>
        <v>78900</v>
      </c>
      <c r="M4" s="85" t="s">
        <v>2589</v>
      </c>
      <c r="N4" s="85" t="s">
        <v>2768</v>
      </c>
      <c r="O4" s="86" t="str">
        <f>IFERROR(_xlfn.XLOOKUP(C4, Data!$A$2:$A$236, Data!$C$2:$C$236), "")</f>
        <v>MD. Sir</v>
      </c>
    </row>
    <row r="5" spans="1:15" ht="30" x14ac:dyDescent="0.35">
      <c r="A5" s="80">
        <f t="shared" si="0"/>
        <v>217</v>
      </c>
      <c r="B5" s="81" t="s">
        <v>2791</v>
      </c>
      <c r="C5" s="44" t="s">
        <v>199</v>
      </c>
      <c r="D5" s="54" t="s">
        <v>32</v>
      </c>
      <c r="E5" s="50" t="s">
        <v>2792</v>
      </c>
      <c r="F5" s="82" t="s">
        <v>1806</v>
      </c>
      <c r="G5" s="89">
        <v>46197</v>
      </c>
      <c r="H5" s="83">
        <v>56197.5</v>
      </c>
      <c r="I5" s="83"/>
      <c r="J5" s="83">
        <f>SUM(Table14[[#This Row],[LC Value]:[Amd Value]])</f>
        <v>56197.5</v>
      </c>
      <c r="K5" s="83">
        <v>2.95</v>
      </c>
      <c r="L5" s="84">
        <v>19050</v>
      </c>
      <c r="M5" s="85" t="s">
        <v>2637</v>
      </c>
      <c r="N5" s="85" t="s">
        <v>2790</v>
      </c>
      <c r="O5" s="86" t="str">
        <f>IFERROR(_xlfn.XLOOKUP(C5, Data!$A$2:$A$236, Data!$C$2:$C$236), "")</f>
        <v>MD. Sir</v>
      </c>
    </row>
    <row r="6" spans="1:15" ht="30" x14ac:dyDescent="0.35">
      <c r="A6" s="80">
        <f t="shared" si="0"/>
        <v>216</v>
      </c>
      <c r="B6" s="81" t="s">
        <v>2788</v>
      </c>
      <c r="C6" s="44" t="s">
        <v>199</v>
      </c>
      <c r="D6" s="54" t="s">
        <v>32</v>
      </c>
      <c r="E6" s="50" t="s">
        <v>2789</v>
      </c>
      <c r="F6" s="82" t="s">
        <v>1806</v>
      </c>
      <c r="G6" s="89">
        <v>46197</v>
      </c>
      <c r="H6" s="83">
        <v>15365</v>
      </c>
      <c r="I6" s="83"/>
      <c r="J6" s="83">
        <f>SUM(Table14[[#This Row],[LC Value]:[Amd Value]])</f>
        <v>15365</v>
      </c>
      <c r="K6" s="83">
        <v>3.9</v>
      </c>
      <c r="L6" s="84">
        <v>3900</v>
      </c>
      <c r="M6" s="85" t="s">
        <v>2637</v>
      </c>
      <c r="N6" s="85" t="s">
        <v>2790</v>
      </c>
      <c r="O6" s="86" t="str">
        <f>IFERROR(_xlfn.XLOOKUP(C6, Data!$A$2:$A$236, Data!$C$2:$C$236), "")</f>
        <v>MD. Sir</v>
      </c>
    </row>
    <row r="7" spans="1:15" ht="30" x14ac:dyDescent="0.35">
      <c r="A7" s="80">
        <f t="shared" si="0"/>
        <v>215</v>
      </c>
      <c r="B7" s="81" t="s">
        <v>2772</v>
      </c>
      <c r="C7" s="44" t="s">
        <v>199</v>
      </c>
      <c r="D7" s="54" t="s">
        <v>32</v>
      </c>
      <c r="E7" s="50" t="s">
        <v>2773</v>
      </c>
      <c r="F7" s="82" t="s">
        <v>2771</v>
      </c>
      <c r="G7" s="89">
        <v>46195</v>
      </c>
      <c r="H7" s="83">
        <v>178777.5</v>
      </c>
      <c r="I7" s="83"/>
      <c r="J7" s="83">
        <f>SUM(Table14[[#This Row],[LC Value]:[Amd Value]])</f>
        <v>178777.5</v>
      </c>
      <c r="K7" s="83">
        <v>3.35</v>
      </c>
      <c r="L7" s="84">
        <v>54450</v>
      </c>
      <c r="M7" s="85" t="s">
        <v>2718</v>
      </c>
      <c r="N7" s="85" t="s">
        <v>2755</v>
      </c>
      <c r="O7" s="86" t="str">
        <f>IFERROR(_xlfn.XLOOKUP(C7, Data!$A$2:$A$236, Data!$C$2:$C$236), "")</f>
        <v>MD. Sir</v>
      </c>
    </row>
    <row r="8" spans="1:15" ht="45" x14ac:dyDescent="0.35">
      <c r="A8" s="80">
        <f t="shared" si="0"/>
        <v>214</v>
      </c>
      <c r="B8" s="81" t="s">
        <v>2769</v>
      </c>
      <c r="C8" s="44" t="s">
        <v>2752</v>
      </c>
      <c r="D8" s="54" t="s">
        <v>1125</v>
      </c>
      <c r="E8" s="50" t="s">
        <v>2770</v>
      </c>
      <c r="F8" s="82" t="s">
        <v>2771</v>
      </c>
      <c r="G8" s="89">
        <v>46197</v>
      </c>
      <c r="H8" s="83">
        <v>44800</v>
      </c>
      <c r="I8" s="83"/>
      <c r="J8" s="83">
        <f>SUM(Table14[[#This Row],[LC Value]:[Amd Value]])</f>
        <v>44800</v>
      </c>
      <c r="K8" s="83">
        <v>3.2</v>
      </c>
      <c r="L8" s="84">
        <v>14000</v>
      </c>
      <c r="M8" s="85" t="s">
        <v>2718</v>
      </c>
      <c r="N8" s="85" t="s">
        <v>2755</v>
      </c>
      <c r="O8" s="86" t="str">
        <f>IFERROR(_xlfn.XLOOKUP(C8, Data!$A$2:$A$236, Data!$C$2:$C$236), "")</f>
        <v>Mr. Shahbuddin</v>
      </c>
    </row>
    <row r="9" spans="1:15" ht="45" x14ac:dyDescent="0.35">
      <c r="A9" s="87">
        <f t="shared" si="0"/>
        <v>213</v>
      </c>
      <c r="B9" s="81" t="s">
        <v>2756</v>
      </c>
      <c r="C9" s="44" t="s">
        <v>2752</v>
      </c>
      <c r="D9" s="54" t="s">
        <v>1125</v>
      </c>
      <c r="E9" s="50" t="s">
        <v>2757</v>
      </c>
      <c r="F9" s="82" t="s">
        <v>1735</v>
      </c>
      <c r="G9" s="89">
        <v>46195</v>
      </c>
      <c r="H9" s="83">
        <v>44800</v>
      </c>
      <c r="I9" s="83"/>
      <c r="J9" s="83">
        <f>SUM(Table14[[#This Row],[LC Value]:[Amd Value]])</f>
        <v>44800</v>
      </c>
      <c r="K9" s="83">
        <v>3.2</v>
      </c>
      <c r="L9" s="84">
        <v>14000</v>
      </c>
      <c r="M9" s="85" t="s">
        <v>2718</v>
      </c>
      <c r="N9" s="85" t="s">
        <v>2755</v>
      </c>
      <c r="O9" s="86" t="str">
        <f>IFERROR(_xlfn.XLOOKUP(C9, Data!$A$2:$A$236, Data!$C$2:$C$236), "")</f>
        <v>Mr. Shahbuddin</v>
      </c>
    </row>
    <row r="10" spans="1:15" ht="45" x14ac:dyDescent="0.35">
      <c r="A10" s="88">
        <f t="shared" si="0"/>
        <v>212</v>
      </c>
      <c r="B10" s="81" t="s">
        <v>2753</v>
      </c>
      <c r="C10" s="44" t="s">
        <v>2752</v>
      </c>
      <c r="D10" s="54" t="s">
        <v>1125</v>
      </c>
      <c r="E10" s="50" t="s">
        <v>2754</v>
      </c>
      <c r="F10" s="82" t="s">
        <v>1735</v>
      </c>
      <c r="G10" s="89">
        <v>46195</v>
      </c>
      <c r="H10" s="83">
        <v>9600</v>
      </c>
      <c r="I10" s="83"/>
      <c r="J10" s="83">
        <f>SUM(Table14[[#This Row],[LC Value]:[Amd Value]])</f>
        <v>9600</v>
      </c>
      <c r="K10" s="83">
        <v>3.2</v>
      </c>
      <c r="L10" s="84">
        <v>3000</v>
      </c>
      <c r="M10" s="85" t="s">
        <v>2718</v>
      </c>
      <c r="N10" s="85" t="s">
        <v>2755</v>
      </c>
      <c r="O10" s="86" t="str">
        <f>IFERROR(_xlfn.XLOOKUP(C10, Data!$A$2:$A$236, Data!$C$2:$C$236), "")</f>
        <v>Mr. Shahbuddin</v>
      </c>
    </row>
    <row r="11" spans="1:15" ht="30" x14ac:dyDescent="0.35">
      <c r="A11" s="80">
        <f t="shared" si="0"/>
        <v>211</v>
      </c>
      <c r="B11" s="81" t="s">
        <v>2750</v>
      </c>
      <c r="C11" s="44" t="s">
        <v>200</v>
      </c>
      <c r="D11" s="54" t="s">
        <v>98</v>
      </c>
      <c r="E11" s="50" t="s">
        <v>2751</v>
      </c>
      <c r="F11" s="82" t="s">
        <v>1735</v>
      </c>
      <c r="G11" s="89">
        <v>46196</v>
      </c>
      <c r="H11" s="83">
        <v>61782.5</v>
      </c>
      <c r="I11" s="83"/>
      <c r="J11" s="83">
        <f>SUM(Table14[[#This Row],[LC Value]:[Amd Value]])</f>
        <v>61782.5</v>
      </c>
      <c r="K11" s="83">
        <v>3.1</v>
      </c>
      <c r="L11" s="84">
        <v>18250</v>
      </c>
      <c r="M11" s="85" t="s">
        <v>1045</v>
      </c>
      <c r="N11" s="85" t="s">
        <v>1044</v>
      </c>
      <c r="O11" s="86" t="str">
        <f>IFERROR(_xlfn.XLOOKUP(C11, Data!$A$2:$A$236, Data!$C$2:$C$236), "")</f>
        <v>MD. Sir</v>
      </c>
    </row>
    <row r="12" spans="1:15" ht="30" x14ac:dyDescent="0.35">
      <c r="A12" s="80">
        <f t="shared" si="0"/>
        <v>210</v>
      </c>
      <c r="B12" s="81" t="s">
        <v>2748</v>
      </c>
      <c r="C12" s="44" t="s">
        <v>199</v>
      </c>
      <c r="D12" s="54" t="s">
        <v>98</v>
      </c>
      <c r="E12" s="50" t="s">
        <v>2749</v>
      </c>
      <c r="F12" s="82" t="s">
        <v>1735</v>
      </c>
      <c r="G12" s="89">
        <v>46196</v>
      </c>
      <c r="H12" s="83">
        <v>20000</v>
      </c>
      <c r="I12" s="83"/>
      <c r="J12" s="83">
        <f>SUM(Table14[[#This Row],[LC Value]:[Amd Value]])</f>
        <v>20000</v>
      </c>
      <c r="K12" s="83">
        <v>2.5</v>
      </c>
      <c r="L12" s="84">
        <v>8000</v>
      </c>
      <c r="M12" s="85" t="s">
        <v>1045</v>
      </c>
      <c r="N12" s="85" t="s">
        <v>1044</v>
      </c>
      <c r="O12" s="86" t="str">
        <f>IFERROR(_xlfn.XLOOKUP(C12, Data!$A$2:$A$236, Data!$C$2:$C$236), "")</f>
        <v>MD. Sir</v>
      </c>
    </row>
    <row r="13" spans="1:15" ht="45" x14ac:dyDescent="0.35">
      <c r="A13" s="80">
        <f t="shared" si="0"/>
        <v>209</v>
      </c>
      <c r="B13" s="81" t="s">
        <v>2746</v>
      </c>
      <c r="C13" s="44" t="s">
        <v>199</v>
      </c>
      <c r="D13" s="54" t="s">
        <v>353</v>
      </c>
      <c r="E13" s="50" t="s">
        <v>2747</v>
      </c>
      <c r="F13" s="82" t="s">
        <v>1735</v>
      </c>
      <c r="G13" s="89">
        <v>46195</v>
      </c>
      <c r="H13" s="83">
        <v>47840</v>
      </c>
      <c r="I13" s="83"/>
      <c r="J13" s="83">
        <f>SUM(Table14[[#This Row],[LC Value]:[Amd Value]])</f>
        <v>47840</v>
      </c>
      <c r="K13" s="83">
        <v>3.2</v>
      </c>
      <c r="L13" s="84">
        <v>14950</v>
      </c>
      <c r="M13" s="85" t="s">
        <v>1045</v>
      </c>
      <c r="N13" s="85" t="s">
        <v>1044</v>
      </c>
      <c r="O13" s="86" t="str">
        <f>IFERROR(_xlfn.XLOOKUP(C13, Data!$A$2:$A$236, Data!$C$2:$C$236), "")</f>
        <v>MD. Sir</v>
      </c>
    </row>
    <row r="14" spans="1:15" ht="30" x14ac:dyDescent="0.35">
      <c r="A14" s="80">
        <f t="shared" si="0"/>
        <v>208</v>
      </c>
      <c r="B14" s="81" t="s">
        <v>2721</v>
      </c>
      <c r="C14" s="44" t="s">
        <v>200</v>
      </c>
      <c r="D14" s="54" t="s">
        <v>98</v>
      </c>
      <c r="E14" s="50" t="s">
        <v>2722</v>
      </c>
      <c r="F14" s="82" t="s">
        <v>2113</v>
      </c>
      <c r="G14" s="89">
        <v>46191</v>
      </c>
      <c r="H14" s="83">
        <v>11935</v>
      </c>
      <c r="I14" s="83"/>
      <c r="J14" s="83">
        <f>SUM(Table14[[#This Row],[LC Value]:[Amd Value]])</f>
        <v>11935</v>
      </c>
      <c r="K14" s="83">
        <v>3.85</v>
      </c>
      <c r="L14" s="84">
        <v>3100</v>
      </c>
      <c r="M14" s="85" t="s">
        <v>1045</v>
      </c>
      <c r="N14" s="85" t="s">
        <v>1044</v>
      </c>
      <c r="O14" s="86" t="str">
        <f>IFERROR(_xlfn.XLOOKUP(C14, Data!$A$2:$A$236, Data!$C$2:$C$236), "")</f>
        <v>MD. Sir</v>
      </c>
    </row>
    <row r="15" spans="1:15" ht="30" x14ac:dyDescent="0.35">
      <c r="A15" s="80">
        <f t="shared" si="0"/>
        <v>207</v>
      </c>
      <c r="B15" s="81" t="s">
        <v>2714</v>
      </c>
      <c r="C15" s="44" t="s">
        <v>174</v>
      </c>
      <c r="D15" s="54" t="s">
        <v>2691</v>
      </c>
      <c r="E15" s="50" t="s">
        <v>2715</v>
      </c>
      <c r="F15" s="82" t="s">
        <v>1605</v>
      </c>
      <c r="G15" s="89">
        <v>46189</v>
      </c>
      <c r="H15" s="83">
        <v>28050</v>
      </c>
      <c r="I15" s="83"/>
      <c r="J15" s="83">
        <f>SUM(Table14[[#This Row],[LC Value]:[Amd Value]])</f>
        <v>28050</v>
      </c>
      <c r="K15" s="83">
        <v>3.3</v>
      </c>
      <c r="L15" s="84">
        <v>8500</v>
      </c>
      <c r="M15" s="85" t="s">
        <v>1045</v>
      </c>
      <c r="N15" s="85" t="s">
        <v>1044</v>
      </c>
      <c r="O15" s="86" t="str">
        <f>IFERROR(_xlfn.XLOOKUP(C15, Data!$A$2:$A$236, Data!$C$2:$C$236), "")</f>
        <v>Mr. Reza Sir</v>
      </c>
    </row>
    <row r="16" spans="1:15" ht="30" x14ac:dyDescent="0.35">
      <c r="A16" s="80">
        <f t="shared" si="0"/>
        <v>206</v>
      </c>
      <c r="B16" s="81" t="s">
        <v>2712</v>
      </c>
      <c r="C16" s="44" t="s">
        <v>174</v>
      </c>
      <c r="D16" s="54" t="s">
        <v>2691</v>
      </c>
      <c r="E16" s="50" t="s">
        <v>2713</v>
      </c>
      <c r="F16" s="82" t="s">
        <v>1605</v>
      </c>
      <c r="G16" s="89">
        <v>46189</v>
      </c>
      <c r="H16" s="83">
        <v>82500</v>
      </c>
      <c r="I16" s="83"/>
      <c r="J16" s="83">
        <f>SUM(Table14[[#This Row],[LC Value]:[Amd Value]])</f>
        <v>82500</v>
      </c>
      <c r="K16" s="83">
        <v>3.3</v>
      </c>
      <c r="L16" s="84">
        <v>25500</v>
      </c>
      <c r="M16" s="85" t="s">
        <v>1045</v>
      </c>
      <c r="N16" s="85" t="s">
        <v>1044</v>
      </c>
      <c r="O16" s="86" t="str">
        <f>IFERROR(_xlfn.XLOOKUP(C16, Data!$A$2:$A$236, Data!$C$2:$C$236), "")</f>
        <v>Mr. Reza Sir</v>
      </c>
    </row>
    <row r="17" spans="1:15" ht="30" x14ac:dyDescent="0.35">
      <c r="A17" s="80">
        <f t="shared" si="0"/>
        <v>205</v>
      </c>
      <c r="B17" s="81" t="s">
        <v>2710</v>
      </c>
      <c r="C17" s="44" t="s">
        <v>174</v>
      </c>
      <c r="D17" s="54" t="s">
        <v>2691</v>
      </c>
      <c r="E17" s="50" t="s">
        <v>2711</v>
      </c>
      <c r="F17" s="82" t="s">
        <v>1605</v>
      </c>
      <c r="G17" s="89">
        <v>46189</v>
      </c>
      <c r="H17" s="83">
        <v>61050</v>
      </c>
      <c r="I17" s="83"/>
      <c r="J17" s="83">
        <f>SUM(Table14[[#This Row],[LC Value]:[Amd Value]])</f>
        <v>61050</v>
      </c>
      <c r="K17" s="83">
        <v>3.3</v>
      </c>
      <c r="L17" s="84">
        <v>18500</v>
      </c>
      <c r="M17" s="85" t="s">
        <v>1045</v>
      </c>
      <c r="N17" s="85" t="s">
        <v>1044</v>
      </c>
      <c r="O17" s="86" t="str">
        <f>IFERROR(_xlfn.XLOOKUP(C17, Data!$A$2:$A$236, Data!$C$2:$C$236), "")</f>
        <v>Mr. Reza Sir</v>
      </c>
    </row>
    <row r="18" spans="1:15" ht="30" x14ac:dyDescent="0.35">
      <c r="A18" s="80">
        <f t="shared" si="0"/>
        <v>204</v>
      </c>
      <c r="B18" s="81" t="s">
        <v>2708</v>
      </c>
      <c r="C18" s="44" t="s">
        <v>174</v>
      </c>
      <c r="D18" s="54" t="s">
        <v>2691</v>
      </c>
      <c r="E18" s="50" t="s">
        <v>2709</v>
      </c>
      <c r="F18" s="82" t="s">
        <v>1605</v>
      </c>
      <c r="G18" s="89">
        <v>46189</v>
      </c>
      <c r="H18" s="83">
        <v>67650</v>
      </c>
      <c r="I18" s="83"/>
      <c r="J18" s="83">
        <f>SUM(Table14[[#This Row],[LC Value]:[Amd Value]])</f>
        <v>67650</v>
      </c>
      <c r="K18" s="83">
        <v>3.3</v>
      </c>
      <c r="L18" s="84">
        <v>20500</v>
      </c>
      <c r="M18" s="85" t="s">
        <v>1045</v>
      </c>
      <c r="N18" s="85" t="s">
        <v>1044</v>
      </c>
      <c r="O18" s="86" t="str">
        <f>IFERROR(_xlfn.XLOOKUP(C18, Data!$A$2:$A$236, Data!$C$2:$C$236), "")</f>
        <v>Mr. Reza Sir</v>
      </c>
    </row>
    <row r="19" spans="1:15" ht="30" x14ac:dyDescent="0.35">
      <c r="A19" s="80">
        <f t="shared" si="0"/>
        <v>203</v>
      </c>
      <c r="B19" s="81" t="s">
        <v>2706</v>
      </c>
      <c r="C19" s="44" t="s">
        <v>174</v>
      </c>
      <c r="D19" s="54" t="s">
        <v>2691</v>
      </c>
      <c r="E19" s="50" t="s">
        <v>2707</v>
      </c>
      <c r="F19" s="82" t="s">
        <v>1605</v>
      </c>
      <c r="G19" s="89">
        <v>46189</v>
      </c>
      <c r="H19" s="83">
        <v>51150</v>
      </c>
      <c r="I19" s="83"/>
      <c r="J19" s="83">
        <f>SUM(Table14[[#This Row],[LC Value]:[Amd Value]])</f>
        <v>51150</v>
      </c>
      <c r="K19" s="83">
        <v>3.3</v>
      </c>
      <c r="L19" s="84">
        <v>15500</v>
      </c>
      <c r="M19" s="85" t="s">
        <v>1045</v>
      </c>
      <c r="N19" s="85" t="s">
        <v>1044</v>
      </c>
      <c r="O19" s="86" t="str">
        <f>IFERROR(_xlfn.XLOOKUP(C19, Data!$A$2:$A$236, Data!$C$2:$C$236), "")</f>
        <v>Mr. Reza Sir</v>
      </c>
    </row>
    <row r="20" spans="1:15" ht="30" x14ac:dyDescent="0.35">
      <c r="A20" s="80">
        <f t="shared" si="0"/>
        <v>202</v>
      </c>
      <c r="B20" s="81" t="s">
        <v>2704</v>
      </c>
      <c r="C20" s="44" t="s">
        <v>174</v>
      </c>
      <c r="D20" s="54" t="s">
        <v>2691</v>
      </c>
      <c r="E20" s="50" t="s">
        <v>2705</v>
      </c>
      <c r="F20" s="82" t="s">
        <v>1605</v>
      </c>
      <c r="G20" s="89">
        <v>46189</v>
      </c>
      <c r="H20" s="83">
        <v>79200</v>
      </c>
      <c r="I20" s="83"/>
      <c r="J20" s="83">
        <f>SUM(Table14[[#This Row],[LC Value]:[Amd Value]])</f>
        <v>79200</v>
      </c>
      <c r="K20" s="83">
        <v>3.3</v>
      </c>
      <c r="L20" s="84">
        <v>24000</v>
      </c>
      <c r="M20" s="85" t="s">
        <v>1045</v>
      </c>
      <c r="N20" s="85" t="s">
        <v>1044</v>
      </c>
      <c r="O20" s="86" t="str">
        <f>IFERROR(_xlfn.XLOOKUP(C20, Data!$A$2:$A$236, Data!$C$2:$C$236), "")</f>
        <v>Mr. Reza Sir</v>
      </c>
    </row>
    <row r="21" spans="1:15" ht="30" x14ac:dyDescent="0.35">
      <c r="A21" s="80">
        <f t="shared" si="0"/>
        <v>201</v>
      </c>
      <c r="B21" s="81" t="s">
        <v>2702</v>
      </c>
      <c r="C21" s="44" t="s">
        <v>174</v>
      </c>
      <c r="D21" s="54" t="s">
        <v>2691</v>
      </c>
      <c r="E21" s="50" t="s">
        <v>2703</v>
      </c>
      <c r="F21" s="82" t="s">
        <v>1605</v>
      </c>
      <c r="G21" s="89">
        <v>46189</v>
      </c>
      <c r="H21" s="83">
        <v>41250</v>
      </c>
      <c r="I21" s="83"/>
      <c r="J21" s="83">
        <f>SUM(Table14[[#This Row],[LC Value]:[Amd Value]])</f>
        <v>41250</v>
      </c>
      <c r="K21" s="83">
        <v>3.55</v>
      </c>
      <c r="L21" s="84">
        <v>12500</v>
      </c>
      <c r="M21" s="85" t="s">
        <v>1045</v>
      </c>
      <c r="N21" s="85" t="s">
        <v>1044</v>
      </c>
      <c r="O21" s="86" t="str">
        <f>IFERROR(_xlfn.XLOOKUP(C21, Data!$A$2:$A$236, Data!$C$2:$C$236), "")</f>
        <v>Mr. Reza Sir</v>
      </c>
    </row>
    <row r="22" spans="1:15" ht="30" x14ac:dyDescent="0.35">
      <c r="A22" s="80">
        <f t="shared" si="0"/>
        <v>200</v>
      </c>
      <c r="B22" s="81" t="s">
        <v>2700</v>
      </c>
      <c r="C22" s="44" t="s">
        <v>174</v>
      </c>
      <c r="D22" s="54" t="s">
        <v>2691</v>
      </c>
      <c r="E22" s="50" t="s">
        <v>2701</v>
      </c>
      <c r="F22" s="82" t="s">
        <v>1605</v>
      </c>
      <c r="G22" s="89">
        <v>46189</v>
      </c>
      <c r="H22" s="83">
        <v>34650</v>
      </c>
      <c r="I22" s="83"/>
      <c r="J22" s="83">
        <f>SUM(Table14[[#This Row],[LC Value]:[Amd Value]])</f>
        <v>34650</v>
      </c>
      <c r="K22" s="83">
        <v>3.55</v>
      </c>
      <c r="L22" s="84">
        <v>10500</v>
      </c>
      <c r="M22" s="85" t="s">
        <v>1045</v>
      </c>
      <c r="N22" s="85" t="s">
        <v>1044</v>
      </c>
      <c r="O22" s="86" t="str">
        <f>IFERROR(_xlfn.XLOOKUP(C22, Data!$A$2:$A$236, Data!$C$2:$C$236), "")</f>
        <v>Mr. Reza Sir</v>
      </c>
    </row>
    <row r="23" spans="1:15" ht="30" x14ac:dyDescent="0.35">
      <c r="A23" s="80">
        <f t="shared" si="0"/>
        <v>199</v>
      </c>
      <c r="B23" s="81" t="s">
        <v>2698</v>
      </c>
      <c r="C23" s="44" t="s">
        <v>174</v>
      </c>
      <c r="D23" s="54" t="s">
        <v>2691</v>
      </c>
      <c r="E23" s="50" t="s">
        <v>2699</v>
      </c>
      <c r="F23" s="82" t="s">
        <v>1605</v>
      </c>
      <c r="G23" s="89">
        <v>46189</v>
      </c>
      <c r="H23" s="83">
        <v>72600</v>
      </c>
      <c r="I23" s="83"/>
      <c r="J23" s="83">
        <f>SUM(Table14[[#This Row],[LC Value]:[Amd Value]])</f>
        <v>72600</v>
      </c>
      <c r="K23" s="83">
        <v>3.55</v>
      </c>
      <c r="L23" s="84">
        <v>22000</v>
      </c>
      <c r="M23" s="85" t="s">
        <v>1045</v>
      </c>
      <c r="N23" s="85" t="s">
        <v>1044</v>
      </c>
      <c r="O23" s="86" t="str">
        <f>IFERROR(_xlfn.XLOOKUP(C23, Data!$A$2:$A$236, Data!$C$2:$C$236), "")</f>
        <v>Mr. Reza Sir</v>
      </c>
    </row>
    <row r="24" spans="1:15" ht="30" x14ac:dyDescent="0.35">
      <c r="A24" s="80">
        <f t="shared" si="0"/>
        <v>198</v>
      </c>
      <c r="B24" s="81" t="s">
        <v>2696</v>
      </c>
      <c r="C24" s="44" t="s">
        <v>178</v>
      </c>
      <c r="D24" s="54" t="s">
        <v>2691</v>
      </c>
      <c r="E24" s="50" t="s">
        <v>2697</v>
      </c>
      <c r="F24" s="82" t="s">
        <v>1605</v>
      </c>
      <c r="G24" s="89">
        <v>46189</v>
      </c>
      <c r="H24" s="83">
        <v>71000</v>
      </c>
      <c r="I24" s="83"/>
      <c r="J24" s="83">
        <f>SUM(Table14[[#This Row],[LC Value]:[Amd Value]])</f>
        <v>71000</v>
      </c>
      <c r="K24" s="83">
        <v>3.55</v>
      </c>
      <c r="L24" s="84">
        <v>20000</v>
      </c>
      <c r="M24" s="85" t="s">
        <v>1045</v>
      </c>
      <c r="N24" s="85" t="s">
        <v>1044</v>
      </c>
      <c r="O24" s="86" t="str">
        <f>IFERROR(_xlfn.XLOOKUP(C24, Data!$A$2:$A$236, Data!$C$2:$C$236), "")</f>
        <v>Mr. Reza Sir</v>
      </c>
    </row>
    <row r="25" spans="1:15" ht="30" x14ac:dyDescent="0.35">
      <c r="A25" s="80">
        <f t="shared" si="0"/>
        <v>197</v>
      </c>
      <c r="B25" s="81" t="s">
        <v>2694</v>
      </c>
      <c r="C25" s="44" t="s">
        <v>178</v>
      </c>
      <c r="D25" s="54" t="s">
        <v>2691</v>
      </c>
      <c r="E25" s="50" t="s">
        <v>2695</v>
      </c>
      <c r="F25" s="82" t="s">
        <v>1605</v>
      </c>
      <c r="G25" s="89">
        <v>46189</v>
      </c>
      <c r="H25" s="83">
        <v>53250</v>
      </c>
      <c r="I25" s="83"/>
      <c r="J25" s="83">
        <f>SUM(Table14[[#This Row],[LC Value]:[Amd Value]])</f>
        <v>53250</v>
      </c>
      <c r="K25" s="83">
        <v>3.55</v>
      </c>
      <c r="L25" s="84">
        <v>15000</v>
      </c>
      <c r="M25" s="85" t="s">
        <v>1045</v>
      </c>
      <c r="N25" s="85" t="s">
        <v>1044</v>
      </c>
      <c r="O25" s="86" t="str">
        <f>IFERROR(_xlfn.XLOOKUP(C25, Data!$A$2:$A$236, Data!$C$2:$C$236), "")</f>
        <v>Mr. Reza Sir</v>
      </c>
    </row>
    <row r="26" spans="1:15" ht="30" x14ac:dyDescent="0.35">
      <c r="A26" s="80">
        <f t="shared" si="0"/>
        <v>196</v>
      </c>
      <c r="B26" s="81" t="s">
        <v>2692</v>
      </c>
      <c r="C26" s="44" t="s">
        <v>178</v>
      </c>
      <c r="D26" s="54" t="s">
        <v>2691</v>
      </c>
      <c r="E26" s="50" t="s">
        <v>2693</v>
      </c>
      <c r="F26" s="82" t="s">
        <v>1605</v>
      </c>
      <c r="G26" s="89">
        <v>46189</v>
      </c>
      <c r="H26" s="83">
        <v>60350</v>
      </c>
      <c r="I26" s="83"/>
      <c r="J26" s="83">
        <f>SUM(Table14[[#This Row],[LC Value]:[Amd Value]])</f>
        <v>60350</v>
      </c>
      <c r="K26" s="83">
        <v>3.55</v>
      </c>
      <c r="L26" s="84">
        <v>17000</v>
      </c>
      <c r="M26" s="85" t="s">
        <v>1045</v>
      </c>
      <c r="N26" s="85" t="s">
        <v>1044</v>
      </c>
      <c r="O26" s="86" t="str">
        <f>IFERROR(_xlfn.XLOOKUP(C26, Data!$A$2:$A$236, Data!$C$2:$C$236), "")</f>
        <v>Mr. Reza Sir</v>
      </c>
    </row>
    <row r="27" spans="1:15" ht="30" x14ac:dyDescent="0.35">
      <c r="A27" s="80">
        <f t="shared" si="0"/>
        <v>195</v>
      </c>
      <c r="B27" s="81" t="s">
        <v>2649</v>
      </c>
      <c r="C27" s="44" t="s">
        <v>178</v>
      </c>
      <c r="D27" s="54" t="s">
        <v>2691</v>
      </c>
      <c r="E27" s="50" t="s">
        <v>2650</v>
      </c>
      <c r="F27" s="82" t="s">
        <v>1605</v>
      </c>
      <c r="G27" s="89">
        <v>46189</v>
      </c>
      <c r="H27" s="83">
        <v>28400</v>
      </c>
      <c r="I27" s="83"/>
      <c r="J27" s="83">
        <f>SUM(Table14[[#This Row],[LC Value]:[Amd Value]])</f>
        <v>28400</v>
      </c>
      <c r="K27" s="83">
        <v>3.55</v>
      </c>
      <c r="L27" s="84">
        <v>8000</v>
      </c>
      <c r="M27" s="85" t="s">
        <v>1045</v>
      </c>
      <c r="N27" s="85" t="s">
        <v>1044</v>
      </c>
      <c r="O27" s="86" t="str">
        <f>IFERROR(_xlfn.XLOOKUP(C27, Data!$A$2:$A$236, Data!$C$2:$C$236), "")</f>
        <v>Mr. Reza Sir</v>
      </c>
    </row>
    <row r="28" spans="1:15" ht="30" x14ac:dyDescent="0.35">
      <c r="A28" s="80">
        <f t="shared" si="0"/>
        <v>194</v>
      </c>
      <c r="B28" s="81" t="s">
        <v>2647</v>
      </c>
      <c r="C28" s="44" t="s">
        <v>178</v>
      </c>
      <c r="D28" s="54" t="s">
        <v>2691</v>
      </c>
      <c r="E28" s="50" t="s">
        <v>2648</v>
      </c>
      <c r="F28" s="82" t="s">
        <v>1605</v>
      </c>
      <c r="G28" s="89">
        <v>46189</v>
      </c>
      <c r="H28" s="83">
        <v>33000</v>
      </c>
      <c r="I28" s="83"/>
      <c r="J28" s="83">
        <f>SUM(Table14[[#This Row],[LC Value]:[Amd Value]])</f>
        <v>33000</v>
      </c>
      <c r="K28" s="83">
        <v>3.3</v>
      </c>
      <c r="L28" s="84">
        <v>10000</v>
      </c>
      <c r="M28" s="85" t="s">
        <v>1045</v>
      </c>
      <c r="N28" s="85" t="s">
        <v>1044</v>
      </c>
      <c r="O28" s="86" t="str">
        <f>IFERROR(_xlfn.XLOOKUP(C28, Data!$A$2:$A$236, Data!$C$2:$C$236), "")</f>
        <v>Mr. Reza Sir</v>
      </c>
    </row>
    <row r="29" spans="1:15" ht="30" x14ac:dyDescent="0.35">
      <c r="A29" s="80">
        <f t="shared" si="0"/>
        <v>193</v>
      </c>
      <c r="B29" s="81" t="s">
        <v>2645</v>
      </c>
      <c r="C29" s="44" t="s">
        <v>178</v>
      </c>
      <c r="D29" s="54" t="s">
        <v>2691</v>
      </c>
      <c r="E29" s="50" t="s">
        <v>2646</v>
      </c>
      <c r="F29" s="82" t="s">
        <v>1605</v>
      </c>
      <c r="G29" s="89">
        <v>46189</v>
      </c>
      <c r="H29" s="83">
        <v>29700</v>
      </c>
      <c r="I29" s="83"/>
      <c r="J29" s="83">
        <f>SUM(Table14[[#This Row],[LC Value]:[Amd Value]])</f>
        <v>29700</v>
      </c>
      <c r="K29" s="83">
        <v>3.55</v>
      </c>
      <c r="L29" s="84">
        <v>9000</v>
      </c>
      <c r="M29" s="85" t="s">
        <v>1045</v>
      </c>
      <c r="N29" s="85" t="s">
        <v>1044</v>
      </c>
      <c r="O29" s="86" t="str">
        <f>IFERROR(_xlfn.XLOOKUP(C29, Data!$A$2:$A$236, Data!$C$2:$C$236), "")</f>
        <v>Mr. Reza Sir</v>
      </c>
    </row>
    <row r="30" spans="1:15" ht="30" x14ac:dyDescent="0.35">
      <c r="A30" s="80">
        <f t="shared" si="0"/>
        <v>192</v>
      </c>
      <c r="B30" s="81" t="s">
        <v>2643</v>
      </c>
      <c r="C30" s="44" t="s">
        <v>178</v>
      </c>
      <c r="D30" s="54" t="s">
        <v>2691</v>
      </c>
      <c r="E30" s="50" t="s">
        <v>2644</v>
      </c>
      <c r="F30" s="82" t="s">
        <v>1605</v>
      </c>
      <c r="G30" s="89">
        <v>46189</v>
      </c>
      <c r="H30" s="83">
        <v>46150</v>
      </c>
      <c r="I30" s="83"/>
      <c r="J30" s="83">
        <f>SUM(Table14[[#This Row],[LC Value]:[Amd Value]])</f>
        <v>46150</v>
      </c>
      <c r="K30" s="83">
        <v>3.55</v>
      </c>
      <c r="L30" s="84">
        <v>13000</v>
      </c>
      <c r="M30" s="85" t="s">
        <v>1045</v>
      </c>
      <c r="N30" s="85" t="s">
        <v>1044</v>
      </c>
      <c r="O30" s="86" t="str">
        <f>IFERROR(_xlfn.XLOOKUP(C30, Data!$A$2:$A$236, Data!$C$2:$C$236), "")</f>
        <v>Mr. Reza Sir</v>
      </c>
    </row>
    <row r="31" spans="1:15" ht="30" x14ac:dyDescent="0.35">
      <c r="A31" s="80">
        <f t="shared" si="0"/>
        <v>191</v>
      </c>
      <c r="B31" s="81" t="s">
        <v>2641</v>
      </c>
      <c r="C31" s="44" t="s">
        <v>178</v>
      </c>
      <c r="D31" s="54" t="s">
        <v>2691</v>
      </c>
      <c r="E31" s="50" t="s">
        <v>2642</v>
      </c>
      <c r="F31" s="82" t="s">
        <v>1605</v>
      </c>
      <c r="G31" s="89">
        <v>46189</v>
      </c>
      <c r="H31" s="83">
        <v>71000</v>
      </c>
      <c r="I31" s="83"/>
      <c r="J31" s="83">
        <f>SUM(Table14[[#This Row],[LC Value]:[Amd Value]])</f>
        <v>71000</v>
      </c>
      <c r="K31" s="83">
        <v>3.55</v>
      </c>
      <c r="L31" s="84">
        <v>20000</v>
      </c>
      <c r="M31" s="85" t="s">
        <v>1045</v>
      </c>
      <c r="N31" s="85" t="s">
        <v>1044</v>
      </c>
      <c r="O31" s="86" t="str">
        <f>IFERROR(_xlfn.XLOOKUP(C31, Data!$A$2:$A$236, Data!$C$2:$C$236), "")</f>
        <v>Mr. Reza Sir</v>
      </c>
    </row>
    <row r="32" spans="1:15" ht="30" x14ac:dyDescent="0.35">
      <c r="A32" s="80">
        <f t="shared" si="0"/>
        <v>190</v>
      </c>
      <c r="B32" s="81" t="s">
        <v>2639</v>
      </c>
      <c r="C32" s="44" t="s">
        <v>199</v>
      </c>
      <c r="D32" s="54" t="s">
        <v>32</v>
      </c>
      <c r="E32" s="50" t="s">
        <v>2640</v>
      </c>
      <c r="F32" s="82" t="s">
        <v>2022</v>
      </c>
      <c r="G32" s="89">
        <v>46184</v>
      </c>
      <c r="H32" s="83">
        <f>62530+108405</f>
        <v>170935</v>
      </c>
      <c r="I32" s="83"/>
      <c r="J32" s="83">
        <f>SUM(Table14[[#This Row],[LC Value]:[Amd Value]])</f>
        <v>170935</v>
      </c>
      <c r="K32" s="83">
        <v>3.7</v>
      </c>
      <c r="L32" s="84">
        <v>3750</v>
      </c>
      <c r="M32" s="85" t="s">
        <v>2375</v>
      </c>
      <c r="N32" s="85" t="s">
        <v>2624</v>
      </c>
      <c r="O32" s="86" t="str">
        <f>IFERROR(_xlfn.XLOOKUP(C32, Data!$A$2:$A$236, Data!$C$2:$C$236), "")</f>
        <v>MD. Sir</v>
      </c>
    </row>
    <row r="33" spans="1:15" ht="30" x14ac:dyDescent="0.35">
      <c r="A33" s="80">
        <f t="shared" si="0"/>
        <v>189</v>
      </c>
      <c r="B33" s="81" t="s">
        <v>2621</v>
      </c>
      <c r="C33" s="44" t="s">
        <v>200</v>
      </c>
      <c r="D33" s="54" t="s">
        <v>98</v>
      </c>
      <c r="E33" s="50" t="s">
        <v>2622</v>
      </c>
      <c r="F33" s="82" t="s">
        <v>2623</v>
      </c>
      <c r="G33" s="89">
        <v>46183</v>
      </c>
      <c r="H33" s="83">
        <v>17930</v>
      </c>
      <c r="I33" s="83"/>
      <c r="J33" s="83">
        <f>SUM(Table14[[#This Row],[LC Value]:[Amd Value]])</f>
        <v>17930</v>
      </c>
      <c r="K33" s="83">
        <v>4.75</v>
      </c>
      <c r="L33" s="84">
        <v>3750</v>
      </c>
      <c r="M33" s="85" t="s">
        <v>2375</v>
      </c>
      <c r="N33" s="85" t="s">
        <v>2624</v>
      </c>
      <c r="O33" s="86" t="str">
        <f>IFERROR(_xlfn.XLOOKUP(C33, Data!$A$2:$A$236, Data!$C$2:$C$236), "")</f>
        <v>MD. Sir</v>
      </c>
    </row>
    <row r="34" spans="1:15" ht="45" x14ac:dyDescent="0.35">
      <c r="A34" s="80">
        <f t="shared" si="0"/>
        <v>188</v>
      </c>
      <c r="B34" s="81" t="s">
        <v>2600</v>
      </c>
      <c r="C34" s="44" t="s">
        <v>1578</v>
      </c>
      <c r="D34" s="54" t="s">
        <v>1580</v>
      </c>
      <c r="E34" s="50" t="s">
        <v>2601</v>
      </c>
      <c r="F34" s="82" t="s">
        <v>2022</v>
      </c>
      <c r="G34" s="89">
        <v>46177</v>
      </c>
      <c r="H34" s="83">
        <f>320000+320000</f>
        <v>640000</v>
      </c>
      <c r="I34" s="83"/>
      <c r="J34" s="83">
        <f>SUM(Table14[[#This Row],[LC Value]:[Amd Value]])</f>
        <v>640000</v>
      </c>
      <c r="K34" s="83">
        <v>3.2</v>
      </c>
      <c r="L34" s="84">
        <v>200000</v>
      </c>
      <c r="M34" s="85" t="s">
        <v>1082</v>
      </c>
      <c r="N34" s="85" t="s">
        <v>1996</v>
      </c>
      <c r="O34" s="86" t="str">
        <f>IFERROR(_xlfn.XLOOKUP(C34, Data!$A$2:$A$236, Data!$C$2:$C$236), "")</f>
        <v>Director Sir</v>
      </c>
    </row>
    <row r="35" spans="1:15" ht="30" x14ac:dyDescent="0.35">
      <c r="A35" s="80">
        <f t="shared" si="0"/>
        <v>187</v>
      </c>
      <c r="B35" s="81" t="s">
        <v>2594</v>
      </c>
      <c r="C35" s="44" t="s">
        <v>200</v>
      </c>
      <c r="D35" s="54" t="s">
        <v>98</v>
      </c>
      <c r="E35" s="50" t="s">
        <v>2595</v>
      </c>
      <c r="F35" s="82" t="s">
        <v>2092</v>
      </c>
      <c r="G35" s="89">
        <v>46181</v>
      </c>
      <c r="H35" s="83">
        <v>20685</v>
      </c>
      <c r="I35" s="83"/>
      <c r="J35" s="83">
        <f>SUM(Table14[[#This Row],[LC Value]:[Amd Value]])</f>
        <v>20685</v>
      </c>
      <c r="K35" s="83">
        <v>3.35</v>
      </c>
      <c r="L35" s="84">
        <v>5200</v>
      </c>
      <c r="M35" s="85" t="s">
        <v>2333</v>
      </c>
      <c r="N35" s="85" t="s">
        <v>2589</v>
      </c>
      <c r="O35" s="86" t="str">
        <f>IFERROR(_xlfn.XLOOKUP(C35, Data!$A$2:$A$236, Data!$C$2:$C$236), "")</f>
        <v>MD. Sir</v>
      </c>
    </row>
    <row r="36" spans="1:15" ht="30" x14ac:dyDescent="0.35">
      <c r="A36" s="80">
        <f t="shared" si="0"/>
        <v>186</v>
      </c>
      <c r="B36" s="81" t="s">
        <v>2587</v>
      </c>
      <c r="C36" s="44" t="s">
        <v>203</v>
      </c>
      <c r="D36" s="54" t="s">
        <v>21</v>
      </c>
      <c r="E36" s="50" t="s">
        <v>2588</v>
      </c>
      <c r="F36" s="82" t="s">
        <v>1457</v>
      </c>
      <c r="G36" s="89">
        <v>46176</v>
      </c>
      <c r="H36" s="83">
        <v>73700</v>
      </c>
      <c r="I36" s="83"/>
      <c r="J36" s="83">
        <f>SUM(Table14[[#This Row],[LC Value]:[Amd Value]])</f>
        <v>73700</v>
      </c>
      <c r="K36" s="83">
        <v>3.35</v>
      </c>
      <c r="L36" s="84">
        <v>22000</v>
      </c>
      <c r="M36" s="85" t="s">
        <v>2333</v>
      </c>
      <c r="N36" s="85" t="s">
        <v>2589</v>
      </c>
      <c r="O36" s="86" t="str">
        <f>IFERROR(_xlfn.XLOOKUP(C36, Data!$A$2:$A$236, Data!$C$2:$C$236), "")</f>
        <v>MD. Sir</v>
      </c>
    </row>
    <row r="37" spans="1:15" ht="30" x14ac:dyDescent="0.35">
      <c r="A37" s="80">
        <f t="shared" si="0"/>
        <v>185</v>
      </c>
      <c r="B37" s="81" t="s">
        <v>2573</v>
      </c>
      <c r="C37" s="44" t="s">
        <v>200</v>
      </c>
      <c r="D37" s="54" t="s">
        <v>32</v>
      </c>
      <c r="E37" s="50" t="s">
        <v>2574</v>
      </c>
      <c r="F37" s="82" t="s">
        <v>2575</v>
      </c>
      <c r="G37" s="89">
        <v>46181</v>
      </c>
      <c r="H37" s="83">
        <v>9627</v>
      </c>
      <c r="I37" s="83"/>
      <c r="J37" s="83">
        <f>SUM(Table14[[#This Row],[LC Value]:[Amd Value]])</f>
        <v>9627</v>
      </c>
      <c r="K37" s="83">
        <v>3.3</v>
      </c>
      <c r="L37" s="84">
        <v>1100</v>
      </c>
      <c r="M37" s="85" t="s">
        <v>2333</v>
      </c>
      <c r="N37" s="85" t="s">
        <v>2541</v>
      </c>
      <c r="O37" s="86" t="str">
        <f>IFERROR(_xlfn.XLOOKUP(C37, Data!$A$2:$A$236, Data!$C$2:$C$236), "")</f>
        <v>MD. Sir</v>
      </c>
    </row>
    <row r="38" spans="1:15" ht="30" x14ac:dyDescent="0.35">
      <c r="A38" s="80">
        <f t="shared" si="0"/>
        <v>184</v>
      </c>
      <c r="B38" s="81" t="s">
        <v>2558</v>
      </c>
      <c r="C38" s="44" t="s">
        <v>200</v>
      </c>
      <c r="D38" s="54" t="s">
        <v>32</v>
      </c>
      <c r="E38" s="50" t="s">
        <v>2559</v>
      </c>
      <c r="F38" s="82" t="s">
        <v>1718</v>
      </c>
      <c r="G38" s="89">
        <v>46181</v>
      </c>
      <c r="H38" s="83">
        <v>5445</v>
      </c>
      <c r="I38" s="83"/>
      <c r="J38" s="83">
        <f>SUM(Table14[[#This Row],[LC Value]:[Amd Value]])</f>
        <v>5445</v>
      </c>
      <c r="K38" s="83">
        <v>3.3</v>
      </c>
      <c r="L38" s="84">
        <v>1100</v>
      </c>
      <c r="M38" s="85" t="s">
        <v>2333</v>
      </c>
      <c r="N38" s="85" t="s">
        <v>2541</v>
      </c>
      <c r="O38" s="86" t="str">
        <f>IFERROR(_xlfn.XLOOKUP(C38, Data!$A$2:$A$236, Data!$C$2:$C$236), "")</f>
        <v>MD. Sir</v>
      </c>
    </row>
    <row r="39" spans="1:15" ht="30" x14ac:dyDescent="0.35">
      <c r="A39" s="80">
        <f t="shared" si="0"/>
        <v>183</v>
      </c>
      <c r="B39" s="81" t="s">
        <v>2539</v>
      </c>
      <c r="C39" s="44" t="s">
        <v>200</v>
      </c>
      <c r="D39" s="54" t="s">
        <v>79</v>
      </c>
      <c r="E39" s="50" t="s">
        <v>2540</v>
      </c>
      <c r="F39" s="82" t="s">
        <v>1718</v>
      </c>
      <c r="G39" s="89">
        <v>46177</v>
      </c>
      <c r="H39" s="83">
        <v>290565</v>
      </c>
      <c r="I39" s="83"/>
      <c r="J39" s="83">
        <f>SUM(Table14[[#This Row],[LC Value]:[Amd Value]])</f>
        <v>290565</v>
      </c>
      <c r="K39" s="83">
        <v>3.3</v>
      </c>
      <c r="L39" s="84">
        <v>88050</v>
      </c>
      <c r="M39" s="85" t="s">
        <v>2333</v>
      </c>
      <c r="N39" s="85" t="s">
        <v>2541</v>
      </c>
      <c r="O39" s="86" t="str">
        <f>IFERROR(_xlfn.XLOOKUP(C39, Data!$A$2:$A$236, Data!$C$2:$C$236), "")</f>
        <v>MD. Sir</v>
      </c>
    </row>
    <row r="40" spans="1:15" ht="30" x14ac:dyDescent="0.35">
      <c r="A40" s="80">
        <f t="shared" si="0"/>
        <v>182</v>
      </c>
      <c r="B40" s="81" t="s">
        <v>2530</v>
      </c>
      <c r="C40" s="44" t="s">
        <v>178</v>
      </c>
      <c r="D40" s="54" t="s">
        <v>2691</v>
      </c>
      <c r="E40" s="50" t="s">
        <v>2531</v>
      </c>
      <c r="F40" s="82" t="s">
        <v>1443</v>
      </c>
      <c r="G40" s="89">
        <v>46176</v>
      </c>
      <c r="H40" s="83">
        <v>60800</v>
      </c>
      <c r="I40" s="83"/>
      <c r="J40" s="83">
        <f>SUM(Table14[[#This Row],[LC Value]:[Amd Value]])</f>
        <v>60800</v>
      </c>
      <c r="K40" s="83">
        <v>3.8</v>
      </c>
      <c r="L40" s="84">
        <v>16000</v>
      </c>
      <c r="M40" s="85" t="s">
        <v>1083</v>
      </c>
      <c r="N40" s="85" t="s">
        <v>2336</v>
      </c>
      <c r="O40" s="86" t="str">
        <f>IFERROR(_xlfn.XLOOKUP(C40, Data!$A$2:$A$236, Data!$C$2:$C$236), "")</f>
        <v>Mr. Reza Sir</v>
      </c>
    </row>
    <row r="41" spans="1:15" ht="30" x14ac:dyDescent="0.35">
      <c r="A41" s="80">
        <f t="shared" si="0"/>
        <v>181</v>
      </c>
      <c r="B41" s="81" t="s">
        <v>2481</v>
      </c>
      <c r="C41" s="44" t="s">
        <v>200</v>
      </c>
      <c r="D41" s="54" t="s">
        <v>98</v>
      </c>
      <c r="E41" s="50" t="s">
        <v>2482</v>
      </c>
      <c r="F41" s="82">
        <v>46161</v>
      </c>
      <c r="G41" s="89">
        <v>46176</v>
      </c>
      <c r="H41" s="83">
        <v>28250</v>
      </c>
      <c r="I41" s="83"/>
      <c r="J41" s="83">
        <f>SUM(Table14[[#This Row],[LC Value]:[Amd Value]])</f>
        <v>28250</v>
      </c>
      <c r="K41" s="83">
        <v>3.05</v>
      </c>
      <c r="L41" s="84">
        <v>9000</v>
      </c>
      <c r="M41" s="85" t="s">
        <v>1962</v>
      </c>
      <c r="N41" s="85" t="s">
        <v>2333</v>
      </c>
      <c r="O41" s="86" t="str">
        <f>IFERROR(_xlfn.XLOOKUP(C41, Data!$A$2:$A$236, Data!$C$2:$C$236), "")</f>
        <v>MD. Sir</v>
      </c>
    </row>
    <row r="42" spans="1:15" ht="30" x14ac:dyDescent="0.35">
      <c r="A42" s="80">
        <f t="shared" si="0"/>
        <v>180</v>
      </c>
      <c r="B42" s="81" t="s">
        <v>2479</v>
      </c>
      <c r="C42" s="44" t="s">
        <v>200</v>
      </c>
      <c r="D42" s="54" t="s">
        <v>32</v>
      </c>
      <c r="E42" s="50" t="s">
        <v>2480</v>
      </c>
      <c r="F42" s="82">
        <v>46161</v>
      </c>
      <c r="G42" s="89">
        <v>46176</v>
      </c>
      <c r="H42" s="83">
        <v>26482.5</v>
      </c>
      <c r="I42" s="83"/>
      <c r="J42" s="83">
        <f>SUM(Table14[[#This Row],[LC Value]:[Amd Value]])</f>
        <v>26482.5</v>
      </c>
      <c r="K42" s="83">
        <v>2.4</v>
      </c>
      <c r="L42" s="84">
        <v>5350</v>
      </c>
      <c r="M42" s="85" t="s">
        <v>1962</v>
      </c>
      <c r="N42" s="85" t="s">
        <v>2333</v>
      </c>
      <c r="O42" s="86" t="str">
        <f>IFERROR(_xlfn.XLOOKUP(C42, Data!$A$2:$A$236, Data!$C$2:$C$236), "")</f>
        <v>MD. Sir</v>
      </c>
    </row>
    <row r="43" spans="1:15" ht="30" x14ac:dyDescent="0.35">
      <c r="A43" s="80">
        <f t="shared" si="0"/>
        <v>179</v>
      </c>
      <c r="B43" s="81" t="s">
        <v>2477</v>
      </c>
      <c r="C43" s="44" t="s">
        <v>199</v>
      </c>
      <c r="D43" s="54" t="s">
        <v>32</v>
      </c>
      <c r="E43" s="50" t="s">
        <v>2478</v>
      </c>
      <c r="F43" s="82">
        <v>46161</v>
      </c>
      <c r="G43" s="89">
        <v>46176</v>
      </c>
      <c r="H43" s="83">
        <v>44105</v>
      </c>
      <c r="I43" s="83"/>
      <c r="J43" s="83">
        <f>SUM(Table14[[#This Row],[LC Value]:[Amd Value]])</f>
        <v>44105</v>
      </c>
      <c r="K43" s="83">
        <v>2.4</v>
      </c>
      <c r="L43" s="84">
        <v>18150</v>
      </c>
      <c r="M43" s="85" t="s">
        <v>1962</v>
      </c>
      <c r="N43" s="85" t="s">
        <v>2333</v>
      </c>
      <c r="O43" s="86" t="str">
        <f>IFERROR(_xlfn.XLOOKUP(C43, Data!$A$2:$A$236, Data!$C$2:$C$236), "")</f>
        <v>MD. Sir</v>
      </c>
    </row>
    <row r="44" spans="1:15" ht="30" x14ac:dyDescent="0.35">
      <c r="A44" s="80">
        <f t="shared" si="0"/>
        <v>178</v>
      </c>
      <c r="B44" s="81" t="s">
        <v>2433</v>
      </c>
      <c r="C44" s="44" t="s">
        <v>199</v>
      </c>
      <c r="D44" s="54" t="s">
        <v>32</v>
      </c>
      <c r="E44" s="50" t="s">
        <v>2434</v>
      </c>
      <c r="F44" s="82" t="s">
        <v>1742</v>
      </c>
      <c r="G44" s="89">
        <v>46176</v>
      </c>
      <c r="H44" s="83">
        <v>38440</v>
      </c>
      <c r="I44" s="83"/>
      <c r="J44" s="83">
        <f>SUM(Table14[[#This Row],[LC Value]:[Amd Value]])</f>
        <v>38440</v>
      </c>
      <c r="K44" s="83">
        <v>3.1</v>
      </c>
      <c r="L44" s="84">
        <v>12400</v>
      </c>
      <c r="M44" s="85" t="s">
        <v>868</v>
      </c>
      <c r="N44" s="85" t="s">
        <v>1082</v>
      </c>
      <c r="O44" s="86" t="str">
        <f>IFERROR(_xlfn.XLOOKUP(C44, Data!$A$2:$A$236, Data!$C$2:$C$236), "")</f>
        <v>MD. Sir</v>
      </c>
    </row>
    <row r="45" spans="1:15" ht="30" x14ac:dyDescent="0.35">
      <c r="A45" s="80">
        <f t="shared" si="0"/>
        <v>177</v>
      </c>
      <c r="B45" s="81" t="s">
        <v>2429</v>
      </c>
      <c r="C45" s="44" t="s">
        <v>178</v>
      </c>
      <c r="D45" s="54" t="s">
        <v>2691</v>
      </c>
      <c r="E45" s="50" t="s">
        <v>2430</v>
      </c>
      <c r="F45" s="82" t="s">
        <v>1571</v>
      </c>
      <c r="G45" s="89">
        <v>46162</v>
      </c>
      <c r="H45" s="83">
        <v>37000</v>
      </c>
      <c r="I45" s="83"/>
      <c r="J45" s="83">
        <f>SUM(Table14[[#This Row],[LC Value]:[Amd Value]])</f>
        <v>37000</v>
      </c>
      <c r="K45" s="83">
        <v>3.7</v>
      </c>
      <c r="L45" s="84">
        <v>10000</v>
      </c>
      <c r="M45" s="85" t="s">
        <v>868</v>
      </c>
      <c r="N45" s="85" t="s">
        <v>1082</v>
      </c>
      <c r="O45" s="86" t="str">
        <f>IFERROR(_xlfn.XLOOKUP(C45, Data!$A$2:$A$236, Data!$C$2:$C$236), "")</f>
        <v>Mr. Reza Sir</v>
      </c>
    </row>
    <row r="46" spans="1:15" ht="30" x14ac:dyDescent="0.35">
      <c r="A46" s="80">
        <f t="shared" si="0"/>
        <v>176</v>
      </c>
      <c r="B46" s="81" t="s">
        <v>2427</v>
      </c>
      <c r="C46" s="44" t="s">
        <v>178</v>
      </c>
      <c r="D46" s="54" t="s">
        <v>2691</v>
      </c>
      <c r="E46" s="50" t="s">
        <v>2428</v>
      </c>
      <c r="F46" s="82" t="s">
        <v>1571</v>
      </c>
      <c r="G46" s="89">
        <v>46158</v>
      </c>
      <c r="H46" s="83">
        <v>66600</v>
      </c>
      <c r="I46" s="83"/>
      <c r="J46" s="83">
        <f>SUM(Table14[[#This Row],[LC Value]:[Amd Value]])</f>
        <v>66600</v>
      </c>
      <c r="K46" s="83">
        <v>3.7</v>
      </c>
      <c r="L46" s="84">
        <v>18000</v>
      </c>
      <c r="M46" s="85" t="s">
        <v>868</v>
      </c>
      <c r="N46" s="85" t="s">
        <v>1082</v>
      </c>
      <c r="O46" s="86" t="str">
        <f>IFERROR(_xlfn.XLOOKUP(C46, Data!$A$2:$A$236, Data!$C$2:$C$236), "")</f>
        <v>Mr. Reza Sir</v>
      </c>
    </row>
    <row r="47" spans="1:15" ht="30" x14ac:dyDescent="0.35">
      <c r="A47" s="80">
        <f t="shared" si="0"/>
        <v>175</v>
      </c>
      <c r="B47" s="81" t="s">
        <v>2425</v>
      </c>
      <c r="C47" s="44" t="s">
        <v>178</v>
      </c>
      <c r="D47" s="54" t="s">
        <v>2691</v>
      </c>
      <c r="E47" s="50" t="s">
        <v>2426</v>
      </c>
      <c r="F47" s="82" t="s">
        <v>1571</v>
      </c>
      <c r="G47" s="89">
        <v>46162</v>
      </c>
      <c r="H47" s="83">
        <v>44400</v>
      </c>
      <c r="I47" s="83"/>
      <c r="J47" s="83">
        <f>SUM(Table14[[#This Row],[LC Value]:[Amd Value]])</f>
        <v>44400</v>
      </c>
      <c r="K47" s="83">
        <v>3.7</v>
      </c>
      <c r="L47" s="84">
        <v>12000</v>
      </c>
      <c r="M47" s="85" t="s">
        <v>868</v>
      </c>
      <c r="N47" s="85" t="s">
        <v>1082</v>
      </c>
      <c r="O47" s="86" t="str">
        <f>IFERROR(_xlfn.XLOOKUP(C47, Data!$A$2:$A$236, Data!$C$2:$C$236), "")</f>
        <v>Mr. Reza Sir</v>
      </c>
    </row>
    <row r="48" spans="1:15" ht="30" x14ac:dyDescent="0.35">
      <c r="A48" s="80">
        <f t="shared" si="0"/>
        <v>174</v>
      </c>
      <c r="B48" s="81" t="s">
        <v>2423</v>
      </c>
      <c r="C48" s="44" t="s">
        <v>178</v>
      </c>
      <c r="D48" s="54" t="s">
        <v>2691</v>
      </c>
      <c r="E48" s="50" t="s">
        <v>2424</v>
      </c>
      <c r="F48" s="82" t="s">
        <v>1571</v>
      </c>
      <c r="G48" s="89">
        <v>46162</v>
      </c>
      <c r="H48" s="83">
        <v>55500</v>
      </c>
      <c r="I48" s="83"/>
      <c r="J48" s="83">
        <f>SUM(Table14[[#This Row],[LC Value]:[Amd Value]])</f>
        <v>55500</v>
      </c>
      <c r="K48" s="83">
        <v>3.7</v>
      </c>
      <c r="L48" s="84">
        <v>15000</v>
      </c>
      <c r="M48" s="85" t="s">
        <v>868</v>
      </c>
      <c r="N48" s="85" t="s">
        <v>1082</v>
      </c>
      <c r="O48" s="86" t="str">
        <f>IFERROR(_xlfn.XLOOKUP(C48, Data!$A$2:$A$236, Data!$C$2:$C$236), "")</f>
        <v>Mr. Reza Sir</v>
      </c>
    </row>
    <row r="49" spans="1:15" ht="30" x14ac:dyDescent="0.35">
      <c r="A49" s="80">
        <f t="shared" si="0"/>
        <v>173</v>
      </c>
      <c r="B49" s="81" t="s">
        <v>2416</v>
      </c>
      <c r="C49" s="44" t="s">
        <v>200</v>
      </c>
      <c r="D49" s="54" t="s">
        <v>98</v>
      </c>
      <c r="E49" s="50" t="s">
        <v>2417</v>
      </c>
      <c r="F49" s="82" t="s">
        <v>1571</v>
      </c>
      <c r="G49" s="89">
        <v>46162</v>
      </c>
      <c r="H49" s="83">
        <v>10392.5</v>
      </c>
      <c r="I49" s="83"/>
      <c r="J49" s="83">
        <f>SUM(Table14[[#This Row],[LC Value]:[Amd Value]])</f>
        <v>10392.5</v>
      </c>
      <c r="K49" s="83">
        <v>3.8</v>
      </c>
      <c r="L49" s="84">
        <v>2750</v>
      </c>
      <c r="M49" s="85" t="s">
        <v>1962</v>
      </c>
      <c r="N49" s="85" t="s">
        <v>1602</v>
      </c>
      <c r="O49" s="86" t="str">
        <f>IFERROR(_xlfn.XLOOKUP(C49, Data!$A$2:$A$236, Data!$C$2:$C$236), "")</f>
        <v>MD. Sir</v>
      </c>
    </row>
    <row r="50" spans="1:15" ht="30" x14ac:dyDescent="0.35">
      <c r="A50" s="80">
        <f t="shared" si="0"/>
        <v>172</v>
      </c>
      <c r="B50" s="81" t="s">
        <v>2404</v>
      </c>
      <c r="C50" s="44" t="s">
        <v>199</v>
      </c>
      <c r="D50" s="54" t="s">
        <v>32</v>
      </c>
      <c r="E50" s="50" t="s">
        <v>2405</v>
      </c>
      <c r="F50" s="82" t="s">
        <v>1255</v>
      </c>
      <c r="G50" s="89">
        <v>46162</v>
      </c>
      <c r="H50" s="83">
        <v>66080</v>
      </c>
      <c r="I50" s="83"/>
      <c r="J50" s="83">
        <f>SUM(Table14[[#This Row],[LC Value]:[Amd Value]])</f>
        <v>66080</v>
      </c>
      <c r="K50" s="83">
        <v>2.95</v>
      </c>
      <c r="L50" s="84">
        <v>22400</v>
      </c>
      <c r="M50" s="85" t="s">
        <v>1962</v>
      </c>
      <c r="N50" s="85" t="s">
        <v>2333</v>
      </c>
      <c r="O50" s="86" t="str">
        <f>IFERROR(_xlfn.XLOOKUP(C50, Data!$A$2:$A$236, Data!$C$2:$C$236), "")</f>
        <v>MD. Sir</v>
      </c>
    </row>
    <row r="51" spans="1:15" ht="30" x14ac:dyDescent="0.35">
      <c r="A51" s="80">
        <f t="shared" si="0"/>
        <v>171</v>
      </c>
      <c r="B51" s="81" t="s">
        <v>2384</v>
      </c>
      <c r="C51" s="44" t="s">
        <v>199</v>
      </c>
      <c r="D51" s="54" t="s">
        <v>32</v>
      </c>
      <c r="E51" s="50" t="s">
        <v>2385</v>
      </c>
      <c r="F51" s="82" t="s">
        <v>1255</v>
      </c>
      <c r="G51" s="89">
        <v>46160</v>
      </c>
      <c r="H51" s="83">
        <v>25070</v>
      </c>
      <c r="I51" s="83"/>
      <c r="J51" s="83">
        <f>SUM(Table14[[#This Row],[LC Value]:[Amd Value]])</f>
        <v>25070</v>
      </c>
      <c r="K51" s="83">
        <v>4.1500000000000004</v>
      </c>
      <c r="L51" s="84">
        <v>6100</v>
      </c>
      <c r="M51" s="85" t="s">
        <v>1962</v>
      </c>
      <c r="N51" s="85" t="s">
        <v>2333</v>
      </c>
      <c r="O51" s="86" t="str">
        <f>IFERROR(_xlfn.XLOOKUP(C51, Data!$A$2:$A$236, Data!$C$2:$C$236), "")</f>
        <v>MD. Sir</v>
      </c>
    </row>
    <row r="52" spans="1:15" ht="30" x14ac:dyDescent="0.35">
      <c r="A52" s="80">
        <f t="shared" si="0"/>
        <v>170</v>
      </c>
      <c r="B52" s="81" t="s">
        <v>2382</v>
      </c>
      <c r="C52" s="44" t="s">
        <v>199</v>
      </c>
      <c r="D52" s="54" t="s">
        <v>32</v>
      </c>
      <c r="E52" s="50" t="s">
        <v>2383</v>
      </c>
      <c r="F52" s="82" t="s">
        <v>1255</v>
      </c>
      <c r="G52" s="89">
        <v>46160</v>
      </c>
      <c r="H52" s="83">
        <v>19932.5</v>
      </c>
      <c r="I52" s="83"/>
      <c r="J52" s="83">
        <f>SUM(Table14[[#This Row],[LC Value]:[Amd Value]])</f>
        <v>19932.5</v>
      </c>
      <c r="K52" s="83">
        <v>3.9</v>
      </c>
      <c r="L52" s="84">
        <v>5150</v>
      </c>
      <c r="M52" s="85" t="s">
        <v>1962</v>
      </c>
      <c r="N52" s="85" t="s">
        <v>2333</v>
      </c>
      <c r="O52" s="86" t="str">
        <f>IFERROR(_xlfn.XLOOKUP(C52, Data!$A$2:$A$236, Data!$C$2:$C$236), "")</f>
        <v>MD. Sir</v>
      </c>
    </row>
    <row r="53" spans="1:15" ht="30" x14ac:dyDescent="0.35">
      <c r="A53" s="80">
        <f t="shared" si="0"/>
        <v>169</v>
      </c>
      <c r="B53" s="81" t="s">
        <v>2347</v>
      </c>
      <c r="C53" s="44" t="s">
        <v>200</v>
      </c>
      <c r="D53" s="54" t="s">
        <v>98</v>
      </c>
      <c r="E53" s="50" t="s">
        <v>2348</v>
      </c>
      <c r="F53" s="82" t="s">
        <v>1401</v>
      </c>
      <c r="G53" s="89">
        <v>46158</v>
      </c>
      <c r="H53" s="83">
        <v>24232.5</v>
      </c>
      <c r="I53" s="83"/>
      <c r="J53" s="83">
        <f>SUM(Table14[[#This Row],[LC Value]:[Amd Value]])</f>
        <v>24232.5</v>
      </c>
      <c r="K53" s="83">
        <v>4.2</v>
      </c>
      <c r="L53" s="84">
        <v>5650</v>
      </c>
      <c r="M53" s="85" t="s">
        <v>1962</v>
      </c>
      <c r="N53" s="85" t="s">
        <v>2333</v>
      </c>
      <c r="O53" s="86" t="str">
        <f>IFERROR(_xlfn.XLOOKUP(C53, Data!$A$2:$A$236, Data!$C$2:$C$236), "")</f>
        <v>MD. Sir</v>
      </c>
    </row>
    <row r="54" spans="1:15" ht="30" x14ac:dyDescent="0.35">
      <c r="A54" s="80">
        <f t="shared" si="0"/>
        <v>168</v>
      </c>
      <c r="B54" s="81" t="s">
        <v>2345</v>
      </c>
      <c r="C54" s="44" t="s">
        <v>199</v>
      </c>
      <c r="D54" s="54" t="s">
        <v>98</v>
      </c>
      <c r="E54" s="50" t="s">
        <v>2346</v>
      </c>
      <c r="F54" s="82" t="s">
        <v>1401</v>
      </c>
      <c r="G54" s="89">
        <v>46158</v>
      </c>
      <c r="H54" s="83">
        <f>24415+13035</f>
        <v>37450</v>
      </c>
      <c r="I54" s="83"/>
      <c r="J54" s="83">
        <f>SUM(Table14[[#This Row],[LC Value]:[Amd Value]])</f>
        <v>37450</v>
      </c>
      <c r="K54" s="83">
        <v>1.9</v>
      </c>
      <c r="L54" s="84">
        <v>12850</v>
      </c>
      <c r="M54" s="85" t="s">
        <v>1962</v>
      </c>
      <c r="N54" s="85" t="s">
        <v>2333</v>
      </c>
      <c r="O54" s="86" t="str">
        <f>IFERROR(_xlfn.XLOOKUP(C54, Data!$A$2:$A$236, Data!$C$2:$C$236), "")</f>
        <v>MD. Sir</v>
      </c>
    </row>
    <row r="55" spans="1:15" ht="30" x14ac:dyDescent="0.35">
      <c r="A55" s="80">
        <f t="shared" si="0"/>
        <v>167</v>
      </c>
      <c r="B55" s="81" t="s">
        <v>2331</v>
      </c>
      <c r="C55" s="44" t="s">
        <v>199</v>
      </c>
      <c r="D55" s="54" t="s">
        <v>98</v>
      </c>
      <c r="E55" s="50" t="s">
        <v>2332</v>
      </c>
      <c r="F55" s="82" t="s">
        <v>1131</v>
      </c>
      <c r="G55" s="89">
        <v>46158</v>
      </c>
      <c r="H55" s="83">
        <v>132835</v>
      </c>
      <c r="I55" s="83"/>
      <c r="J55" s="83">
        <f>SUM(Table14[[#This Row],[LC Value]:[Amd Value]])</f>
        <v>132835</v>
      </c>
      <c r="K55" s="83">
        <v>3.05</v>
      </c>
      <c r="L55" s="84">
        <v>43200</v>
      </c>
      <c r="M55" s="85" t="s">
        <v>1962</v>
      </c>
      <c r="N55" s="85" t="s">
        <v>2333</v>
      </c>
      <c r="O55" s="86" t="str">
        <f>IFERROR(_xlfn.XLOOKUP(C55, Data!$A$2:$A$236, Data!$C$2:$C$236), "")</f>
        <v>MD. Sir</v>
      </c>
    </row>
    <row r="56" spans="1:15" ht="30" x14ac:dyDescent="0.35">
      <c r="A56" s="80">
        <f t="shared" si="0"/>
        <v>166</v>
      </c>
      <c r="B56" s="81" t="s">
        <v>2327</v>
      </c>
      <c r="C56" s="44" t="s">
        <v>199</v>
      </c>
      <c r="D56" s="54" t="s">
        <v>32</v>
      </c>
      <c r="E56" s="50" t="s">
        <v>2328</v>
      </c>
      <c r="F56" s="82" t="s">
        <v>1131</v>
      </c>
      <c r="G56" s="89">
        <v>46156</v>
      </c>
      <c r="H56" s="83">
        <v>12655</v>
      </c>
      <c r="I56" s="83"/>
      <c r="J56" s="83">
        <f>SUM(Table14[[#This Row],[LC Value]:[Amd Value]])</f>
        <v>12655</v>
      </c>
      <c r="K56" s="83">
        <v>3.05</v>
      </c>
      <c r="L56" s="84">
        <v>4150</v>
      </c>
      <c r="M56" s="85" t="s">
        <v>1571</v>
      </c>
      <c r="N56" s="85" t="s">
        <v>1745</v>
      </c>
      <c r="O56" s="86" t="str">
        <f>IFERROR(_xlfn.XLOOKUP(C56, Data!$A$2:$A$236, Data!$C$2:$C$236), "")</f>
        <v>MD. Sir</v>
      </c>
    </row>
    <row r="57" spans="1:15" ht="30" x14ac:dyDescent="0.35">
      <c r="A57" s="80">
        <f t="shared" si="0"/>
        <v>165</v>
      </c>
      <c r="B57" s="81" t="s">
        <v>2320</v>
      </c>
      <c r="C57" s="44" t="s">
        <v>199</v>
      </c>
      <c r="D57" s="54" t="s">
        <v>32</v>
      </c>
      <c r="E57" s="50" t="s">
        <v>2418</v>
      </c>
      <c r="F57" s="82" t="s">
        <v>1698</v>
      </c>
      <c r="G57" s="89">
        <v>46158</v>
      </c>
      <c r="H57" s="83">
        <v>47175</v>
      </c>
      <c r="I57" s="83"/>
      <c r="J57" s="83">
        <f>SUM(Table14[[#This Row],[LC Value]:[Amd Value]])</f>
        <v>47175</v>
      </c>
      <c r="K57" s="83">
        <v>1.85</v>
      </c>
      <c r="L57" s="84">
        <v>25500</v>
      </c>
      <c r="M57" s="85" t="s">
        <v>1571</v>
      </c>
      <c r="N57" s="85" t="s">
        <v>1745</v>
      </c>
      <c r="O57" s="86" t="str">
        <f>IFERROR(_xlfn.XLOOKUP(C57, Data!$A$2:$A$236, Data!$C$2:$C$236), "")</f>
        <v>MD. Sir</v>
      </c>
    </row>
    <row r="58" spans="1:15" ht="30" x14ac:dyDescent="0.35">
      <c r="A58" s="88">
        <f t="shared" si="0"/>
        <v>164</v>
      </c>
      <c r="B58" s="81" t="s">
        <v>2318</v>
      </c>
      <c r="C58" s="44" t="s">
        <v>199</v>
      </c>
      <c r="D58" s="54" t="s">
        <v>32</v>
      </c>
      <c r="E58" s="50" t="s">
        <v>2319</v>
      </c>
      <c r="F58" s="82" t="s">
        <v>1698</v>
      </c>
      <c r="G58" s="89">
        <v>46158</v>
      </c>
      <c r="H58" s="83">
        <v>23420</v>
      </c>
      <c r="I58" s="83"/>
      <c r="J58" s="83">
        <f>SUM(Table14[[#This Row],[LC Value]:[Amd Value]])</f>
        <v>23420</v>
      </c>
      <c r="K58" s="83">
        <v>2.8</v>
      </c>
      <c r="L58" s="84">
        <v>6050</v>
      </c>
      <c r="M58" s="85" t="s">
        <v>1571</v>
      </c>
      <c r="N58" s="85" t="s">
        <v>1745</v>
      </c>
      <c r="O58" s="86" t="str">
        <f>IFERROR(_xlfn.XLOOKUP(C58, Data!$A$2:$A$236, Data!$C$2:$C$236), "")</f>
        <v>MD. Sir</v>
      </c>
    </row>
    <row r="59" spans="1:15" ht="30" x14ac:dyDescent="0.35">
      <c r="A59" s="88">
        <f t="shared" si="0"/>
        <v>163</v>
      </c>
      <c r="B59" s="81" t="s">
        <v>2282</v>
      </c>
      <c r="C59" s="44" t="s">
        <v>199</v>
      </c>
      <c r="D59" s="54" t="s">
        <v>32</v>
      </c>
      <c r="E59" s="50" t="s">
        <v>2283</v>
      </c>
      <c r="F59" s="82" t="s">
        <v>2284</v>
      </c>
      <c r="G59" s="89">
        <v>46149</v>
      </c>
      <c r="H59" s="83">
        <v>19237.5</v>
      </c>
      <c r="I59" s="83"/>
      <c r="J59" s="83">
        <f>SUM(Table14[[#This Row],[LC Value]:[Amd Value]])</f>
        <v>19237.5</v>
      </c>
      <c r="K59" s="83">
        <v>2.8</v>
      </c>
      <c r="L59" s="84">
        <v>6050</v>
      </c>
      <c r="M59" s="85" t="s">
        <v>1571</v>
      </c>
      <c r="N59" s="85" t="s">
        <v>1745</v>
      </c>
      <c r="O59" s="86" t="str">
        <f>IFERROR(_xlfn.XLOOKUP(C59, Data!$A$2:$A$236, Data!$C$2:$C$236), "")</f>
        <v>MD. Sir</v>
      </c>
    </row>
    <row r="60" spans="1:15" ht="30" x14ac:dyDescent="0.35">
      <c r="A60" s="88">
        <f t="shared" si="0"/>
        <v>162</v>
      </c>
      <c r="B60" s="81" t="s">
        <v>2261</v>
      </c>
      <c r="C60" s="44" t="s">
        <v>199</v>
      </c>
      <c r="D60" s="54" t="s">
        <v>98</v>
      </c>
      <c r="E60" s="50" t="s">
        <v>2262</v>
      </c>
      <c r="F60" s="82" t="s">
        <v>1263</v>
      </c>
      <c r="G60" s="89">
        <v>46152</v>
      </c>
      <c r="H60" s="83">
        <v>19840</v>
      </c>
      <c r="I60" s="83"/>
      <c r="J60" s="83">
        <f>SUM(Table14[[#This Row],[LC Value]:[Amd Value]])</f>
        <v>19840</v>
      </c>
      <c r="K60" s="83">
        <v>3.25</v>
      </c>
      <c r="L60" s="84">
        <v>6400</v>
      </c>
      <c r="M60" s="85" t="s">
        <v>1571</v>
      </c>
      <c r="N60" s="85" t="s">
        <v>1745</v>
      </c>
      <c r="O60" s="86" t="str">
        <f>IFERROR(_xlfn.XLOOKUP(C60, Data!$A$2:$A$236, Data!$C$2:$C$236), "")</f>
        <v>MD. Sir</v>
      </c>
    </row>
    <row r="61" spans="1:15" ht="45" x14ac:dyDescent="0.35">
      <c r="A61" s="88">
        <f t="shared" si="0"/>
        <v>161</v>
      </c>
      <c r="B61" s="81" t="s">
        <v>2259</v>
      </c>
      <c r="C61" s="44" t="s">
        <v>200</v>
      </c>
      <c r="D61" s="54" t="s">
        <v>135</v>
      </c>
      <c r="E61" s="50" t="s">
        <v>2260</v>
      </c>
      <c r="F61" s="82" t="s">
        <v>1095</v>
      </c>
      <c r="G61" s="89">
        <v>46152</v>
      </c>
      <c r="H61" s="83">
        <v>21070</v>
      </c>
      <c r="I61" s="83"/>
      <c r="J61" s="83">
        <f>SUM(Table14[[#This Row],[LC Value]:[Amd Value]])</f>
        <v>21070</v>
      </c>
      <c r="K61" s="83">
        <v>3.25</v>
      </c>
      <c r="L61" s="84">
        <v>6600</v>
      </c>
      <c r="M61" s="85" t="s">
        <v>1571</v>
      </c>
      <c r="N61" s="85" t="s">
        <v>1745</v>
      </c>
      <c r="O61" s="86" t="str">
        <f>IFERROR(_xlfn.XLOOKUP(C61, Data!$A$2:$A$236, Data!$C$2:$C$236), "")</f>
        <v>MD. Sir</v>
      </c>
    </row>
    <row r="62" spans="1:15" ht="30" x14ac:dyDescent="0.35">
      <c r="A62" s="88">
        <f t="shared" si="0"/>
        <v>160</v>
      </c>
      <c r="B62" s="81" t="s">
        <v>2257</v>
      </c>
      <c r="C62" s="44" t="s">
        <v>199</v>
      </c>
      <c r="D62" s="54" t="s">
        <v>32</v>
      </c>
      <c r="E62" s="50" t="s">
        <v>2258</v>
      </c>
      <c r="F62" s="82" t="s">
        <v>1095</v>
      </c>
      <c r="G62" s="89">
        <v>46147</v>
      </c>
      <c r="H62" s="83">
        <v>17225</v>
      </c>
      <c r="I62" s="83"/>
      <c r="J62" s="83">
        <f>SUM(Table14[[#This Row],[LC Value]:[Amd Value]])</f>
        <v>17225</v>
      </c>
      <c r="K62" s="83">
        <v>3.25</v>
      </c>
      <c r="L62" s="84">
        <v>5300</v>
      </c>
      <c r="M62" s="85" t="s">
        <v>1571</v>
      </c>
      <c r="N62" s="85" t="s">
        <v>1745</v>
      </c>
      <c r="O62" s="86" t="str">
        <f>IFERROR(_xlfn.XLOOKUP(C62, Data!$A$2:$A$236, Data!$C$2:$C$236), "")</f>
        <v>MD. Sir</v>
      </c>
    </row>
    <row r="63" spans="1:15" ht="30" x14ac:dyDescent="0.35">
      <c r="A63" s="88">
        <f t="shared" si="0"/>
        <v>159</v>
      </c>
      <c r="B63" s="81" t="s">
        <v>2251</v>
      </c>
      <c r="C63" s="44" t="s">
        <v>200</v>
      </c>
      <c r="D63" s="54" t="s">
        <v>32</v>
      </c>
      <c r="E63" s="50" t="s">
        <v>2252</v>
      </c>
      <c r="F63" s="82" t="s">
        <v>1095</v>
      </c>
      <c r="G63" s="89">
        <v>46152</v>
      </c>
      <c r="H63" s="83">
        <v>15925</v>
      </c>
      <c r="I63" s="83"/>
      <c r="J63" s="83">
        <f>SUM(Table14[[#This Row],[LC Value]:[Amd Value]])</f>
        <v>15925</v>
      </c>
      <c r="K63" s="83">
        <v>4.9000000000000004</v>
      </c>
      <c r="L63" s="84">
        <v>3250</v>
      </c>
      <c r="M63" s="85" t="s">
        <v>1571</v>
      </c>
      <c r="N63" s="85" t="s">
        <v>1745</v>
      </c>
      <c r="O63" s="86" t="str">
        <f>IFERROR(_xlfn.XLOOKUP(C63, Data!$A$2:$A$236, Data!$C$2:$C$236), "")</f>
        <v>MD. Sir</v>
      </c>
    </row>
    <row r="64" spans="1:15" ht="45" x14ac:dyDescent="0.35">
      <c r="A64" s="88">
        <f t="shared" si="0"/>
        <v>158</v>
      </c>
      <c r="B64" s="81" t="s">
        <v>2244</v>
      </c>
      <c r="C64" s="44" t="s">
        <v>200</v>
      </c>
      <c r="D64" s="54" t="s">
        <v>135</v>
      </c>
      <c r="E64" s="50" t="s">
        <v>2245</v>
      </c>
      <c r="F64" s="82" t="s">
        <v>1095</v>
      </c>
      <c r="G64" s="82">
        <v>46146</v>
      </c>
      <c r="H64" s="83">
        <v>38055</v>
      </c>
      <c r="I64" s="83"/>
      <c r="J64" s="83">
        <f>SUM(Table14[[#This Row],[LC Value]:[Amd Value]])</f>
        <v>38055</v>
      </c>
      <c r="K64" s="83">
        <v>3.9</v>
      </c>
      <c r="L64" s="84">
        <v>4700</v>
      </c>
      <c r="M64" s="85" t="s">
        <v>1571</v>
      </c>
      <c r="N64" s="85" t="s">
        <v>1745</v>
      </c>
      <c r="O64" s="86" t="str">
        <f>IFERROR(_xlfn.XLOOKUP(C64, Data!$A$2:$A$236, Data!$C$2:$C$236), "")</f>
        <v>MD. Sir</v>
      </c>
    </row>
    <row r="65" spans="1:15" ht="30" x14ac:dyDescent="0.35">
      <c r="A65" s="88">
        <f t="shared" si="0"/>
        <v>157</v>
      </c>
      <c r="B65" s="81" t="s">
        <v>2229</v>
      </c>
      <c r="C65" s="44" t="s">
        <v>199</v>
      </c>
      <c r="D65" s="54" t="s">
        <v>32</v>
      </c>
      <c r="E65" s="50" t="s">
        <v>2230</v>
      </c>
      <c r="F65" s="82" t="s">
        <v>1475</v>
      </c>
      <c r="G65" s="89">
        <v>46148</v>
      </c>
      <c r="H65" s="83">
        <v>65497.5</v>
      </c>
      <c r="I65" s="83"/>
      <c r="J65" s="83">
        <f>SUM(Table14[[#This Row],[LC Value]:[Amd Value]])</f>
        <v>65497.5</v>
      </c>
      <c r="K65" s="83">
        <v>3.1</v>
      </c>
      <c r="L65" s="84">
        <v>21300</v>
      </c>
      <c r="M65" s="85" t="s">
        <v>1571</v>
      </c>
      <c r="N65" s="85" t="s">
        <v>1745</v>
      </c>
      <c r="O65" s="86" t="str">
        <f>IFERROR(_xlfn.XLOOKUP(C65, Data!$A$2:$A$236, Data!$C$2:$C$236), "")</f>
        <v>MD. Sir</v>
      </c>
    </row>
    <row r="66" spans="1:15" ht="30" x14ac:dyDescent="0.35">
      <c r="A66" s="88">
        <f t="shared" si="0"/>
        <v>156</v>
      </c>
      <c r="B66" s="81" t="s">
        <v>2214</v>
      </c>
      <c r="C66" s="44" t="s">
        <v>199</v>
      </c>
      <c r="D66" s="54" t="s">
        <v>32</v>
      </c>
      <c r="E66" s="50" t="s">
        <v>2215</v>
      </c>
      <c r="F66" s="82">
        <v>46142</v>
      </c>
      <c r="G66" s="89">
        <v>46147</v>
      </c>
      <c r="H66" s="83">
        <v>38060</v>
      </c>
      <c r="I66" s="83"/>
      <c r="J66" s="83">
        <f>SUM(Table14[[#This Row],[LC Value]:[Amd Value]])</f>
        <v>38060</v>
      </c>
      <c r="K66" s="83">
        <v>2.85</v>
      </c>
      <c r="L66" s="84">
        <v>13200</v>
      </c>
      <c r="M66" s="85" t="s">
        <v>1571</v>
      </c>
      <c r="N66" s="85" t="s">
        <v>1745</v>
      </c>
      <c r="O66" s="86" t="str">
        <f>IFERROR(_xlfn.XLOOKUP(C66, Data!$A$2:$A$236, Data!$C$2:$C$236), "")</f>
        <v>MD. Sir</v>
      </c>
    </row>
    <row r="67" spans="1:15" ht="30" x14ac:dyDescent="0.35">
      <c r="A67" s="88">
        <f t="shared" si="0"/>
        <v>155</v>
      </c>
      <c r="B67" s="81" t="s">
        <v>2210</v>
      </c>
      <c r="C67" s="44" t="s">
        <v>200</v>
      </c>
      <c r="D67" s="54" t="s">
        <v>98</v>
      </c>
      <c r="E67" s="50" t="s">
        <v>2211</v>
      </c>
      <c r="F67" s="82">
        <v>46141</v>
      </c>
      <c r="G67" s="89">
        <v>46146</v>
      </c>
      <c r="H67" s="83">
        <v>20472.5</v>
      </c>
      <c r="I67" s="83"/>
      <c r="J67" s="83">
        <f>SUM(Table14[[#This Row],[LC Value]:[Amd Value]])</f>
        <v>20472.5</v>
      </c>
      <c r="K67" s="83">
        <v>3</v>
      </c>
      <c r="L67" s="84">
        <v>4500</v>
      </c>
      <c r="M67" s="85" t="s">
        <v>1485</v>
      </c>
      <c r="N67" s="85" t="s">
        <v>2113</v>
      </c>
      <c r="O67" s="86" t="str">
        <f>IFERROR(_xlfn.XLOOKUP(C67, Data!$A$2:$A$236, Data!$C$2:$C$236), "")</f>
        <v>MD. Sir</v>
      </c>
    </row>
    <row r="68" spans="1:15" ht="30" x14ac:dyDescent="0.35">
      <c r="A68" s="88">
        <f t="shared" si="0"/>
        <v>154</v>
      </c>
      <c r="B68" s="81" t="s">
        <v>2195</v>
      </c>
      <c r="C68" s="44" t="s">
        <v>200</v>
      </c>
      <c r="D68" s="54" t="s">
        <v>98</v>
      </c>
      <c r="E68" s="50" t="s">
        <v>2196</v>
      </c>
      <c r="F68" s="82">
        <v>46141</v>
      </c>
      <c r="G68" s="89">
        <v>46145</v>
      </c>
      <c r="H68" s="83">
        <v>18480</v>
      </c>
      <c r="I68" s="83"/>
      <c r="J68" s="83">
        <f>SUM(Table14[[#This Row],[LC Value]:[Amd Value]])</f>
        <v>18480</v>
      </c>
      <c r="K68" s="83">
        <v>4.2</v>
      </c>
      <c r="L68" s="84">
        <v>4400</v>
      </c>
      <c r="M68" s="85" t="s">
        <v>1485</v>
      </c>
      <c r="N68" s="85" t="s">
        <v>2113</v>
      </c>
      <c r="O68" s="86" t="str">
        <f>IFERROR(_xlfn.XLOOKUP(C68, Data!$A$2:$A$236, Data!$C$2:$C$236), "")</f>
        <v>MD. Sir</v>
      </c>
    </row>
    <row r="69" spans="1:15" ht="45" x14ac:dyDescent="0.35">
      <c r="A69" s="88">
        <f t="shared" si="0"/>
        <v>153</v>
      </c>
      <c r="B69" s="81" t="s">
        <v>2191</v>
      </c>
      <c r="C69" s="44" t="s">
        <v>200</v>
      </c>
      <c r="D69" s="54" t="s">
        <v>135</v>
      </c>
      <c r="E69" s="50" t="s">
        <v>2192</v>
      </c>
      <c r="F69" s="82">
        <v>46141</v>
      </c>
      <c r="G69" s="89">
        <v>46141</v>
      </c>
      <c r="H69" s="83">
        <v>25500</v>
      </c>
      <c r="I69" s="83"/>
      <c r="J69" s="83">
        <f>SUM(Table14[[#This Row],[LC Value]:[Amd Value]])</f>
        <v>25500</v>
      </c>
      <c r="K69" s="83">
        <v>3.75</v>
      </c>
      <c r="L69" s="84">
        <v>6750</v>
      </c>
      <c r="M69" s="85" t="s">
        <v>1485</v>
      </c>
      <c r="N69" s="85" t="s">
        <v>2113</v>
      </c>
      <c r="O69" s="86" t="str">
        <f>IFERROR(_xlfn.XLOOKUP(C69, Data!$A$2:$A$236, Data!$C$2:$C$236), "")</f>
        <v>MD. Sir</v>
      </c>
    </row>
    <row r="70" spans="1:15" ht="45" x14ac:dyDescent="0.35">
      <c r="A70" s="88">
        <f t="shared" si="0"/>
        <v>152</v>
      </c>
      <c r="B70" s="81" t="s">
        <v>2161</v>
      </c>
      <c r="C70" s="44" t="s">
        <v>199</v>
      </c>
      <c r="D70" s="54" t="s">
        <v>353</v>
      </c>
      <c r="E70" s="50" t="s">
        <v>2162</v>
      </c>
      <c r="F70" s="82">
        <v>46139</v>
      </c>
      <c r="G70" s="89">
        <v>46145</v>
      </c>
      <c r="H70" s="83">
        <v>44685</v>
      </c>
      <c r="I70" s="83"/>
      <c r="J70" s="83">
        <f>SUM(Table14[[#This Row],[LC Value]:[Amd Value]])</f>
        <v>44685</v>
      </c>
      <c r="K70" s="83">
        <v>2.7</v>
      </c>
      <c r="L70" s="84">
        <v>16550</v>
      </c>
      <c r="M70" s="85" t="s">
        <v>1485</v>
      </c>
      <c r="N70" s="85" t="s">
        <v>2113</v>
      </c>
      <c r="O70" s="86" t="str">
        <f>IFERROR(_xlfn.XLOOKUP(C70, Data!$A$2:$A$236, Data!$C$2:$C$236), "")</f>
        <v>MD. Sir</v>
      </c>
    </row>
    <row r="71" spans="1:15" ht="30" x14ac:dyDescent="0.35">
      <c r="A71" s="88">
        <f t="shared" si="0"/>
        <v>151</v>
      </c>
      <c r="B71" s="81" t="s">
        <v>2147</v>
      </c>
      <c r="C71" s="44" t="s">
        <v>200</v>
      </c>
      <c r="D71" s="54" t="s">
        <v>98</v>
      </c>
      <c r="E71" s="50" t="s">
        <v>2148</v>
      </c>
      <c r="F71" s="82">
        <v>46139</v>
      </c>
      <c r="G71" s="89">
        <v>46141</v>
      </c>
      <c r="H71" s="83">
        <v>28950</v>
      </c>
      <c r="I71" s="83"/>
      <c r="J71" s="83">
        <f>SUM(Table14[[#This Row],[LC Value]:[Amd Value]])</f>
        <v>28950</v>
      </c>
      <c r="K71" s="83">
        <v>3.6</v>
      </c>
      <c r="L71" s="84">
        <v>7900</v>
      </c>
      <c r="M71" s="85" t="s">
        <v>1485</v>
      </c>
      <c r="N71" s="85" t="s">
        <v>2113</v>
      </c>
      <c r="O71" s="86" t="str">
        <f>IFERROR(_xlfn.XLOOKUP(C71, Data!$A$2:$A$236, Data!$C$2:$C$236), "")</f>
        <v>MD. Sir</v>
      </c>
    </row>
    <row r="72" spans="1:15" ht="30" x14ac:dyDescent="0.35">
      <c r="A72" s="88">
        <f t="shared" si="0"/>
        <v>150</v>
      </c>
      <c r="B72" s="81" t="s">
        <v>2143</v>
      </c>
      <c r="C72" s="44" t="s">
        <v>199</v>
      </c>
      <c r="D72" s="54" t="s">
        <v>32</v>
      </c>
      <c r="E72" s="50" t="s">
        <v>2144</v>
      </c>
      <c r="F72" s="82">
        <v>46139</v>
      </c>
      <c r="G72" s="89">
        <v>46141</v>
      </c>
      <c r="H72" s="83">
        <v>11137.5</v>
      </c>
      <c r="I72" s="83"/>
      <c r="J72" s="83">
        <f>SUM(Table14[[#This Row],[LC Value]:[Amd Value]])</f>
        <v>11137.5</v>
      </c>
      <c r="K72" s="83">
        <v>2.9</v>
      </c>
      <c r="L72" s="84">
        <v>3750</v>
      </c>
      <c r="M72" s="85" t="s">
        <v>1732</v>
      </c>
      <c r="N72" s="85" t="s">
        <v>2108</v>
      </c>
      <c r="O72" s="86" t="str">
        <f>IFERROR(_xlfn.XLOOKUP(C72, Data!$A$2:$A$236, Data!$C$2:$C$236), "")</f>
        <v>MD. Sir</v>
      </c>
    </row>
    <row r="73" spans="1:15" ht="30" x14ac:dyDescent="0.35">
      <c r="A73" s="88">
        <f t="shared" si="0"/>
        <v>149</v>
      </c>
      <c r="B73" s="81" t="s">
        <v>2105</v>
      </c>
      <c r="C73" s="44" t="s">
        <v>199</v>
      </c>
      <c r="D73" s="54" t="s">
        <v>98</v>
      </c>
      <c r="E73" s="50" t="s">
        <v>2106</v>
      </c>
      <c r="F73" s="82" t="s">
        <v>2107</v>
      </c>
      <c r="G73" s="89">
        <v>46141</v>
      </c>
      <c r="H73" s="83">
        <v>104087.5</v>
      </c>
      <c r="I73" s="83"/>
      <c r="J73" s="83">
        <f>SUM(Table14[[#This Row],[LC Value]:[Amd Value]])</f>
        <v>104087.5</v>
      </c>
      <c r="K73" s="83">
        <v>2.75</v>
      </c>
      <c r="L73" s="84">
        <v>37850</v>
      </c>
      <c r="M73" s="85" t="s">
        <v>1732</v>
      </c>
      <c r="N73" s="85" t="s">
        <v>2108</v>
      </c>
      <c r="O73" s="86" t="str">
        <f>IFERROR(_xlfn.XLOOKUP(C73, Data!$A$2:$A$236, Data!$C$2:$C$236), "")</f>
        <v>MD. Sir</v>
      </c>
    </row>
    <row r="74" spans="1:15" ht="30" x14ac:dyDescent="0.35">
      <c r="A74" s="80">
        <f t="shared" si="0"/>
        <v>148</v>
      </c>
      <c r="B74" s="81" t="s">
        <v>2101</v>
      </c>
      <c r="C74" s="44" t="s">
        <v>199</v>
      </c>
      <c r="D74" s="54" t="s">
        <v>32</v>
      </c>
      <c r="E74" s="50" t="s">
        <v>2102</v>
      </c>
      <c r="F74" s="82" t="s">
        <v>1390</v>
      </c>
      <c r="G74" s="89">
        <v>46140</v>
      </c>
      <c r="H74" s="83">
        <v>11775</v>
      </c>
      <c r="I74" s="83"/>
      <c r="J74" s="83">
        <f>SUM(Table14[[#This Row],[LC Value]:[Amd Value]])</f>
        <v>11775</v>
      </c>
      <c r="K74" s="83">
        <v>3</v>
      </c>
      <c r="L74" s="84">
        <v>3900</v>
      </c>
      <c r="M74" s="85" t="s">
        <v>1457</v>
      </c>
      <c r="N74" s="85" t="s">
        <v>1485</v>
      </c>
      <c r="O74" s="86" t="str">
        <f>IFERROR(_xlfn.XLOOKUP(C74, Data!$A$2:$A$236, Data!$C$2:$C$236), "")</f>
        <v>MD. Sir</v>
      </c>
    </row>
    <row r="75" spans="1:15" ht="30" x14ac:dyDescent="0.35">
      <c r="A75" s="80">
        <f t="shared" si="0"/>
        <v>147</v>
      </c>
      <c r="B75" s="81" t="s">
        <v>2093</v>
      </c>
      <c r="C75" s="44" t="s">
        <v>199</v>
      </c>
      <c r="D75" s="54" t="s">
        <v>32</v>
      </c>
      <c r="E75" s="50" t="s">
        <v>2094</v>
      </c>
      <c r="F75" s="82" t="s">
        <v>1246</v>
      </c>
      <c r="G75" s="89">
        <v>46139</v>
      </c>
      <c r="H75" s="83">
        <v>28865</v>
      </c>
      <c r="I75" s="83"/>
      <c r="J75" s="83">
        <f>SUM(Table14[[#This Row],[LC Value]:[Amd Value]])</f>
        <v>28865</v>
      </c>
      <c r="K75" s="83">
        <v>2.8</v>
      </c>
      <c r="L75" s="84">
        <v>10200</v>
      </c>
      <c r="M75" s="85" t="s">
        <v>1457</v>
      </c>
      <c r="N75" s="85" t="s">
        <v>1485</v>
      </c>
      <c r="O75" s="86" t="str">
        <f>IFERROR(_xlfn.XLOOKUP(C75, Data!$A$2:$A$236, Data!$C$2:$C$236), "")</f>
        <v>MD. Sir</v>
      </c>
    </row>
    <row r="76" spans="1:15" ht="30" x14ac:dyDescent="0.35">
      <c r="A76" s="80">
        <f t="shared" si="0"/>
        <v>146</v>
      </c>
      <c r="B76" s="81" t="s">
        <v>2086</v>
      </c>
      <c r="C76" s="44" t="s">
        <v>214</v>
      </c>
      <c r="D76" s="54" t="s">
        <v>224</v>
      </c>
      <c r="E76" s="50" t="s">
        <v>2087</v>
      </c>
      <c r="F76" s="82" t="s">
        <v>1246</v>
      </c>
      <c r="G76" s="89">
        <v>46147</v>
      </c>
      <c r="H76" s="83">
        <v>340000</v>
      </c>
      <c r="I76" s="83"/>
      <c r="J76" s="83">
        <f>SUM(Table14[[#This Row],[LC Value]:[Amd Value]])</f>
        <v>340000</v>
      </c>
      <c r="K76" s="83">
        <v>3.4</v>
      </c>
      <c r="L76" s="84">
        <v>100000</v>
      </c>
      <c r="M76" s="85" t="s">
        <v>1457</v>
      </c>
      <c r="N76" s="85" t="s">
        <v>1485</v>
      </c>
      <c r="O76" s="86" t="str">
        <f>IFERROR(_xlfn.XLOOKUP(C76, Data!$A$2:$A$236, Data!$C$2:$C$236), "")</f>
        <v>Mr. Lipu Sir</v>
      </c>
    </row>
    <row r="77" spans="1:15" ht="45" x14ac:dyDescent="0.35">
      <c r="A77" s="80">
        <f t="shared" si="0"/>
        <v>145</v>
      </c>
      <c r="B77" s="81" t="s">
        <v>2072</v>
      </c>
      <c r="C77" s="44" t="s">
        <v>200</v>
      </c>
      <c r="D77" s="54" t="s">
        <v>135</v>
      </c>
      <c r="E77" s="50" t="s">
        <v>2073</v>
      </c>
      <c r="F77" s="82" t="s">
        <v>931</v>
      </c>
      <c r="G77" s="89">
        <v>46135</v>
      </c>
      <c r="H77" s="83">
        <v>162860</v>
      </c>
      <c r="I77" s="83"/>
      <c r="J77" s="83">
        <f>SUM(Table14[[#This Row],[LC Value]:[Amd Value]])</f>
        <v>162860</v>
      </c>
      <c r="K77" s="83">
        <v>2.85</v>
      </c>
      <c r="L77" s="84">
        <v>38250</v>
      </c>
      <c r="M77" s="85" t="s">
        <v>1010</v>
      </c>
      <c r="N77" s="85" t="s">
        <v>1172</v>
      </c>
      <c r="O77" s="86" t="str">
        <f>IFERROR(_xlfn.XLOOKUP(C77, Data!$A$2:$A$236, Data!$C$2:$C$236), "")</f>
        <v>MD. Sir</v>
      </c>
    </row>
    <row r="78" spans="1:15" ht="45" x14ac:dyDescent="0.35">
      <c r="A78" s="80">
        <f t="shared" si="0"/>
        <v>144</v>
      </c>
      <c r="B78" s="81" t="s">
        <v>2070</v>
      </c>
      <c r="C78" s="44" t="s">
        <v>199</v>
      </c>
      <c r="D78" s="54" t="s">
        <v>353</v>
      </c>
      <c r="E78" s="50" t="s">
        <v>2071</v>
      </c>
      <c r="F78" s="82" t="s">
        <v>931</v>
      </c>
      <c r="G78" s="89">
        <v>46134</v>
      </c>
      <c r="H78" s="83">
        <v>59137.5</v>
      </c>
      <c r="I78" s="83"/>
      <c r="J78" s="83">
        <f>SUM(Table14[[#This Row],[LC Value]:[Amd Value]])</f>
        <v>59137.5</v>
      </c>
      <c r="K78" s="83">
        <v>2.85</v>
      </c>
      <c r="L78" s="84">
        <v>20750</v>
      </c>
      <c r="M78" s="85" t="s">
        <v>1010</v>
      </c>
      <c r="N78" s="85" t="s">
        <v>1172</v>
      </c>
      <c r="O78" s="86" t="str">
        <f>IFERROR(_xlfn.XLOOKUP(C78, Data!$A$2:$A$236, Data!$C$2:$C$236), "")</f>
        <v>MD. Sir</v>
      </c>
    </row>
    <row r="79" spans="1:15" ht="45" x14ac:dyDescent="0.35">
      <c r="A79" s="80">
        <f t="shared" si="0"/>
        <v>143</v>
      </c>
      <c r="B79" s="81" t="s">
        <v>2068</v>
      </c>
      <c r="C79" s="44" t="s">
        <v>199</v>
      </c>
      <c r="D79" s="54" t="s">
        <v>135</v>
      </c>
      <c r="E79" s="50" t="s">
        <v>2069</v>
      </c>
      <c r="F79" s="82" t="s">
        <v>931</v>
      </c>
      <c r="G79" s="89">
        <v>46135</v>
      </c>
      <c r="H79" s="83">
        <v>24662.5</v>
      </c>
      <c r="I79" s="83"/>
      <c r="J79" s="83">
        <f>SUM(Table14[[#This Row],[LC Value]:[Amd Value]])</f>
        <v>24662.5</v>
      </c>
      <c r="K79" s="83">
        <v>3.55</v>
      </c>
      <c r="L79" s="84">
        <v>7000</v>
      </c>
      <c r="M79" s="85" t="s">
        <v>1010</v>
      </c>
      <c r="N79" s="85" t="s">
        <v>1172</v>
      </c>
      <c r="O79" s="86" t="str">
        <f>IFERROR(_xlfn.XLOOKUP(C79, Data!$A$2:$A$236, Data!$C$2:$C$236), "")</f>
        <v>MD. Sir</v>
      </c>
    </row>
    <row r="80" spans="1:15" ht="30" x14ac:dyDescent="0.35">
      <c r="A80" s="80">
        <f t="shared" si="0"/>
        <v>142</v>
      </c>
      <c r="B80" s="81" t="s">
        <v>2066</v>
      </c>
      <c r="C80" s="44" t="s">
        <v>199</v>
      </c>
      <c r="D80" s="54" t="s">
        <v>32</v>
      </c>
      <c r="E80" s="50" t="s">
        <v>2067</v>
      </c>
      <c r="F80" s="82" t="s">
        <v>1094</v>
      </c>
      <c r="G80" s="89">
        <v>46133</v>
      </c>
      <c r="H80" s="83">
        <v>64970</v>
      </c>
      <c r="I80" s="83"/>
      <c r="J80" s="83">
        <f>SUM(Table14[[#This Row],[LC Value]:[Amd Value]])</f>
        <v>64970</v>
      </c>
      <c r="K80" s="83">
        <v>2.2000000000000002</v>
      </c>
      <c r="L80" s="84">
        <v>29200</v>
      </c>
      <c r="M80" s="85" t="s">
        <v>1010</v>
      </c>
      <c r="N80" s="85" t="s">
        <v>1172</v>
      </c>
      <c r="O80" s="86" t="str">
        <f>IFERROR(_xlfn.XLOOKUP(C80, Data!$A$2:$A$236, Data!$C$2:$C$236), "")</f>
        <v>MD. Sir</v>
      </c>
    </row>
    <row r="81" spans="1:15" ht="30" x14ac:dyDescent="0.35">
      <c r="A81" s="80">
        <f t="shared" si="0"/>
        <v>141</v>
      </c>
      <c r="B81" s="81" t="s">
        <v>2037</v>
      </c>
      <c r="C81" s="44" t="s">
        <v>200</v>
      </c>
      <c r="D81" s="54" t="s">
        <v>98</v>
      </c>
      <c r="E81" s="50" t="s">
        <v>2038</v>
      </c>
      <c r="F81" s="82" t="s">
        <v>1094</v>
      </c>
      <c r="G81" s="89">
        <v>46134</v>
      </c>
      <c r="H81" s="83">
        <v>9225</v>
      </c>
      <c r="I81" s="83"/>
      <c r="J81" s="83">
        <f>SUM(Table14[[#This Row],[LC Value]:[Amd Value]])</f>
        <v>9225</v>
      </c>
      <c r="K81" s="83">
        <v>4.5</v>
      </c>
      <c r="L81" s="84">
        <v>2050</v>
      </c>
      <c r="M81" s="85" t="s">
        <v>1010</v>
      </c>
      <c r="N81" s="85" t="s">
        <v>1172</v>
      </c>
      <c r="O81" s="86" t="str">
        <f>IFERROR(_xlfn.XLOOKUP(C81, Data!$A$2:$A$236, Data!$C$2:$C$236), "")</f>
        <v>MD. Sir</v>
      </c>
    </row>
    <row r="82" spans="1:15" ht="30" x14ac:dyDescent="0.35">
      <c r="A82" s="80">
        <f t="shared" si="0"/>
        <v>140</v>
      </c>
      <c r="B82" s="81" t="s">
        <v>2035</v>
      </c>
      <c r="C82" s="44" t="s">
        <v>200</v>
      </c>
      <c r="D82" s="54" t="s">
        <v>79</v>
      </c>
      <c r="E82" s="50" t="s">
        <v>2036</v>
      </c>
      <c r="F82" s="82" t="s">
        <v>1094</v>
      </c>
      <c r="G82" s="89">
        <v>46134</v>
      </c>
      <c r="H82" s="83">
        <v>10577.5</v>
      </c>
      <c r="I82" s="83"/>
      <c r="J82" s="83">
        <f>SUM(Table14[[#This Row],[LC Value]:[Amd Value]])</f>
        <v>10577.5</v>
      </c>
      <c r="K82" s="83">
        <v>4.95</v>
      </c>
      <c r="L82" s="84">
        <v>2150</v>
      </c>
      <c r="M82" s="85" t="s">
        <v>1010</v>
      </c>
      <c r="N82" s="85" t="s">
        <v>1172</v>
      </c>
      <c r="O82" s="86" t="str">
        <f>IFERROR(_xlfn.XLOOKUP(C82, Data!$A$2:$A$236, Data!$C$2:$C$236), "")</f>
        <v>MD. Sir</v>
      </c>
    </row>
    <row r="83" spans="1:15" ht="30" x14ac:dyDescent="0.35">
      <c r="A83" s="80">
        <f t="shared" si="0"/>
        <v>139</v>
      </c>
      <c r="B83" s="81" t="s">
        <v>2009</v>
      </c>
      <c r="C83" s="44" t="s">
        <v>199</v>
      </c>
      <c r="D83" s="54" t="s">
        <v>32</v>
      </c>
      <c r="E83" s="50" t="s">
        <v>2010</v>
      </c>
      <c r="F83" s="82">
        <v>46127</v>
      </c>
      <c r="G83" s="89">
        <v>46133</v>
      </c>
      <c r="H83" s="83">
        <v>60952.5</v>
      </c>
      <c r="I83" s="83"/>
      <c r="J83" s="83">
        <f>SUM(Table14[[#This Row],[LC Value]:[Amd Value]])</f>
        <v>60952.5</v>
      </c>
      <c r="K83" s="83">
        <v>2.25</v>
      </c>
      <c r="L83" s="84">
        <v>15050</v>
      </c>
      <c r="M83" s="85" t="s">
        <v>1010</v>
      </c>
      <c r="N83" s="85" t="s">
        <v>1172</v>
      </c>
      <c r="O83" s="86" t="str">
        <f>IFERROR(_xlfn.XLOOKUP(C83, Data!$A$2:$A$236, Data!$C$2:$C$236), "")</f>
        <v>MD. Sir</v>
      </c>
    </row>
    <row r="84" spans="1:15" ht="30" x14ac:dyDescent="0.35">
      <c r="A84" s="80">
        <f t="shared" si="0"/>
        <v>138</v>
      </c>
      <c r="B84" s="81" t="s">
        <v>1984</v>
      </c>
      <c r="C84" s="44" t="s">
        <v>200</v>
      </c>
      <c r="D84" s="54" t="s">
        <v>32</v>
      </c>
      <c r="E84" s="50" t="s">
        <v>1985</v>
      </c>
      <c r="F84" s="82">
        <v>46127</v>
      </c>
      <c r="G84" s="89">
        <v>46132</v>
      </c>
      <c r="H84" s="83">
        <v>230700</v>
      </c>
      <c r="I84" s="83"/>
      <c r="J84" s="83">
        <f>SUM(Table14[[#This Row],[LC Value]:[Amd Value]])</f>
        <v>230700</v>
      </c>
      <c r="K84" s="83">
        <v>2.25</v>
      </c>
      <c r="L84" s="84">
        <v>76000</v>
      </c>
      <c r="M84" s="85" t="s">
        <v>1010</v>
      </c>
      <c r="N84" s="85" t="s">
        <v>1172</v>
      </c>
      <c r="O84" s="86" t="str">
        <f>IFERROR(_xlfn.XLOOKUP(C84, Data!$A$2:$A$236, Data!$C$2:$C$236), "")</f>
        <v>MD. Sir</v>
      </c>
    </row>
    <row r="85" spans="1:15" ht="30" x14ac:dyDescent="0.35">
      <c r="A85" s="80">
        <f t="shared" si="0"/>
        <v>137</v>
      </c>
      <c r="B85" s="81" t="s">
        <v>1964</v>
      </c>
      <c r="C85" s="44" t="s">
        <v>203</v>
      </c>
      <c r="D85" s="54" t="s">
        <v>204</v>
      </c>
      <c r="E85" s="50" t="s">
        <v>1965</v>
      </c>
      <c r="F85" s="82" t="s">
        <v>1209</v>
      </c>
      <c r="G85" s="89">
        <v>46132</v>
      </c>
      <c r="H85" s="83">
        <v>146425</v>
      </c>
      <c r="I85" s="83"/>
      <c r="J85" s="83">
        <f>SUM(Table14[[#This Row],[LC Value]:[Amd Value]])</f>
        <v>146425</v>
      </c>
      <c r="K85" s="83">
        <v>2.25</v>
      </c>
      <c r="L85" s="84">
        <v>116200</v>
      </c>
      <c r="M85" s="85" t="s">
        <v>1010</v>
      </c>
      <c r="N85" s="85" t="s">
        <v>1172</v>
      </c>
      <c r="O85" s="86" t="str">
        <f>IFERROR(_xlfn.XLOOKUP(C85, Data!$A$2:$A$236, Data!$C$2:$C$236), "")</f>
        <v>MD. Sir</v>
      </c>
    </row>
    <row r="86" spans="1:15" ht="30" x14ac:dyDescent="0.35">
      <c r="A86" s="80">
        <f t="shared" si="0"/>
        <v>136</v>
      </c>
      <c r="B86" s="81" t="s">
        <v>1956</v>
      </c>
      <c r="C86" s="44" t="s">
        <v>199</v>
      </c>
      <c r="D86" s="54" t="s">
        <v>32</v>
      </c>
      <c r="E86" s="50" t="s">
        <v>1957</v>
      </c>
      <c r="F86" s="82" t="s">
        <v>1929</v>
      </c>
      <c r="G86" s="89">
        <v>46132</v>
      </c>
      <c r="H86" s="83">
        <v>264325</v>
      </c>
      <c r="I86" s="83"/>
      <c r="J86" s="83">
        <f>SUM(Table14[[#This Row],[LC Value]:[Amd Value]])</f>
        <v>264325</v>
      </c>
      <c r="K86" s="83">
        <v>2.25</v>
      </c>
      <c r="L86" s="84">
        <v>116200</v>
      </c>
      <c r="M86" s="85" t="s">
        <v>1010</v>
      </c>
      <c r="N86" s="85" t="s">
        <v>1172</v>
      </c>
      <c r="O86" s="86" t="str">
        <f>IFERROR(_xlfn.XLOOKUP(C86, Data!$A$2:$A$236, Data!$C$2:$C$236), "")</f>
        <v>MD. Sir</v>
      </c>
    </row>
    <row r="87" spans="1:15" ht="30" x14ac:dyDescent="0.35">
      <c r="A87" s="80">
        <f t="shared" si="0"/>
        <v>135</v>
      </c>
      <c r="B87" s="81" t="s">
        <v>1954</v>
      </c>
      <c r="C87" s="44" t="s">
        <v>174</v>
      </c>
      <c r="D87" s="54" t="s">
        <v>2691</v>
      </c>
      <c r="E87" s="50" t="s">
        <v>1955</v>
      </c>
      <c r="F87" s="82" t="s">
        <v>1929</v>
      </c>
      <c r="G87" s="89">
        <v>46127</v>
      </c>
      <c r="H87" s="83">
        <v>52910</v>
      </c>
      <c r="I87" s="83"/>
      <c r="J87" s="83">
        <f>SUM(Table14[[#This Row],[LC Value]:[Amd Value]])</f>
        <v>52910</v>
      </c>
      <c r="K87" s="83">
        <v>3.4</v>
      </c>
      <c r="L87" s="84">
        <v>14300</v>
      </c>
      <c r="M87" s="85" t="s">
        <v>1010</v>
      </c>
      <c r="N87" s="85" t="s">
        <v>1172</v>
      </c>
      <c r="O87" s="86" t="str">
        <f>IFERROR(_xlfn.XLOOKUP(C87, Data!$A$2:$A$236, Data!$C$2:$C$236), "")</f>
        <v>Mr. Reza Sir</v>
      </c>
    </row>
    <row r="88" spans="1:15" ht="30" x14ac:dyDescent="0.35">
      <c r="A88" s="80">
        <f t="shared" si="0"/>
        <v>134</v>
      </c>
      <c r="B88" s="81" t="s">
        <v>1952</v>
      </c>
      <c r="C88" s="44" t="s">
        <v>178</v>
      </c>
      <c r="D88" s="54" t="s">
        <v>2691</v>
      </c>
      <c r="E88" s="50" t="s">
        <v>1953</v>
      </c>
      <c r="F88" s="82" t="s">
        <v>1929</v>
      </c>
      <c r="G88" s="89">
        <v>46125</v>
      </c>
      <c r="H88" s="83">
        <v>153672</v>
      </c>
      <c r="I88" s="83"/>
      <c r="J88" s="83">
        <f>SUM(Table14[[#This Row],[LC Value]:[Amd Value]])</f>
        <v>153672</v>
      </c>
      <c r="K88" s="83">
        <v>3.4</v>
      </c>
      <c r="L88" s="84">
        <v>43850</v>
      </c>
      <c r="M88" s="85" t="s">
        <v>1010</v>
      </c>
      <c r="N88" s="85" t="s">
        <v>1172</v>
      </c>
      <c r="O88" s="86" t="str">
        <f>IFERROR(_xlfn.XLOOKUP(C88, Data!$A$2:$A$236, Data!$C$2:$C$236), "")</f>
        <v>Mr. Reza Sir</v>
      </c>
    </row>
    <row r="89" spans="1:15" ht="30" x14ac:dyDescent="0.35">
      <c r="A89" s="80">
        <f t="shared" si="0"/>
        <v>133</v>
      </c>
      <c r="B89" s="81" t="s">
        <v>1950</v>
      </c>
      <c r="C89" s="44" t="s">
        <v>178</v>
      </c>
      <c r="D89" s="54" t="s">
        <v>2691</v>
      </c>
      <c r="E89" s="50" t="s">
        <v>1951</v>
      </c>
      <c r="F89" s="82" t="s">
        <v>1929</v>
      </c>
      <c r="G89" s="89">
        <v>46125</v>
      </c>
      <c r="H89" s="83">
        <v>112230</v>
      </c>
      <c r="I89" s="83"/>
      <c r="J89" s="83">
        <f>SUM(Table14[[#This Row],[LC Value]:[Amd Value]])</f>
        <v>112230</v>
      </c>
      <c r="K89" s="83">
        <v>3.4</v>
      </c>
      <c r="L89" s="84">
        <v>32400</v>
      </c>
      <c r="M89" s="85" t="s">
        <v>1010</v>
      </c>
      <c r="N89" s="85" t="s">
        <v>1172</v>
      </c>
      <c r="O89" s="86" t="str">
        <f>IFERROR(_xlfn.XLOOKUP(C89, Data!$A$2:$A$236, Data!$C$2:$C$236), "")</f>
        <v>Mr. Reza Sir</v>
      </c>
    </row>
    <row r="90" spans="1:15" ht="45" x14ac:dyDescent="0.35">
      <c r="A90" s="80">
        <f t="shared" si="0"/>
        <v>132</v>
      </c>
      <c r="B90" s="81" t="s">
        <v>1884</v>
      </c>
      <c r="C90" s="44" t="s">
        <v>199</v>
      </c>
      <c r="D90" s="54" t="s">
        <v>353</v>
      </c>
      <c r="E90" s="50" t="s">
        <v>1885</v>
      </c>
      <c r="F90" s="82" t="s">
        <v>736</v>
      </c>
      <c r="G90" s="89">
        <v>46127</v>
      </c>
      <c r="H90" s="83">
        <v>28325</v>
      </c>
      <c r="I90" s="83"/>
      <c r="J90" s="83">
        <f>SUM(Table14[[#This Row],[LC Value]:[Amd Value]])</f>
        <v>28325</v>
      </c>
      <c r="K90" s="83">
        <v>3.4</v>
      </c>
      <c r="L90" s="84">
        <v>8250</v>
      </c>
      <c r="M90" s="85" t="s">
        <v>1010</v>
      </c>
      <c r="N90" s="85" t="s">
        <v>1172</v>
      </c>
      <c r="O90" s="86" t="str">
        <f>IFERROR(_xlfn.XLOOKUP(C90, Data!$A$2:$A$236, Data!$C$2:$C$236), "")</f>
        <v>MD. Sir</v>
      </c>
    </row>
    <row r="91" spans="1:15" ht="45" x14ac:dyDescent="0.35">
      <c r="A91" s="80">
        <f t="shared" si="0"/>
        <v>131</v>
      </c>
      <c r="B91" s="81" t="s">
        <v>1882</v>
      </c>
      <c r="C91" s="44" t="s">
        <v>199</v>
      </c>
      <c r="D91" s="54" t="s">
        <v>353</v>
      </c>
      <c r="E91" s="50" t="s">
        <v>1883</v>
      </c>
      <c r="F91" s="82" t="s">
        <v>736</v>
      </c>
      <c r="G91" s="89">
        <v>46127</v>
      </c>
      <c r="H91" s="83">
        <v>22495</v>
      </c>
      <c r="I91" s="83"/>
      <c r="J91" s="83">
        <f>SUM(Table14[[#This Row],[LC Value]:[Amd Value]])</f>
        <v>22495</v>
      </c>
      <c r="K91" s="83">
        <v>3</v>
      </c>
      <c r="L91" s="84">
        <v>7400</v>
      </c>
      <c r="M91" s="85" t="s">
        <v>1010</v>
      </c>
      <c r="N91" s="85" t="s">
        <v>1172</v>
      </c>
      <c r="O91" s="86" t="str">
        <f>IFERROR(_xlfn.XLOOKUP(C91, Data!$A$2:$A$236, Data!$C$2:$C$236), "")</f>
        <v>MD. Sir</v>
      </c>
    </row>
    <row r="92" spans="1:15" ht="30" x14ac:dyDescent="0.35">
      <c r="A92" s="80">
        <f t="shared" si="0"/>
        <v>130</v>
      </c>
      <c r="B92" s="81" t="s">
        <v>1880</v>
      </c>
      <c r="C92" s="44" t="s">
        <v>200</v>
      </c>
      <c r="D92" s="54" t="s">
        <v>98</v>
      </c>
      <c r="E92" s="50" t="s">
        <v>1881</v>
      </c>
      <c r="F92" s="82" t="s">
        <v>736</v>
      </c>
      <c r="G92" s="89">
        <v>46127</v>
      </c>
      <c r="H92" s="83">
        <v>45370</v>
      </c>
      <c r="I92" s="83"/>
      <c r="J92" s="83">
        <f>SUM(Table14[[#This Row],[LC Value]:[Amd Value]])</f>
        <v>45370</v>
      </c>
      <c r="K92" s="83">
        <v>2.98</v>
      </c>
      <c r="L92" s="84">
        <v>14600</v>
      </c>
      <c r="M92" s="85" t="s">
        <v>1010</v>
      </c>
      <c r="N92" s="85" t="s">
        <v>1172</v>
      </c>
      <c r="O92" s="86" t="str">
        <f>IFERROR(_xlfn.XLOOKUP(C92, Data!$A$2:$A$236, Data!$C$2:$C$236), "")</f>
        <v>MD. Sir</v>
      </c>
    </row>
    <row r="93" spans="1:15" ht="30" x14ac:dyDescent="0.35">
      <c r="A93" s="80">
        <f t="shared" si="0"/>
        <v>129</v>
      </c>
      <c r="B93" s="81" t="s">
        <v>1878</v>
      </c>
      <c r="C93" s="44" t="s">
        <v>200</v>
      </c>
      <c r="D93" s="54" t="s">
        <v>98</v>
      </c>
      <c r="E93" s="50" t="s">
        <v>1879</v>
      </c>
      <c r="F93" s="82" t="s">
        <v>736</v>
      </c>
      <c r="G93" s="89">
        <v>46127</v>
      </c>
      <c r="H93" s="83">
        <v>126280</v>
      </c>
      <c r="I93" s="83"/>
      <c r="J93" s="83">
        <f>SUM(Table14[[#This Row],[LC Value]:[Amd Value]])</f>
        <v>126280</v>
      </c>
      <c r="K93" s="83">
        <v>2.98</v>
      </c>
      <c r="L93" s="84">
        <v>29000</v>
      </c>
      <c r="M93" s="85" t="s">
        <v>1010</v>
      </c>
      <c r="N93" s="85" t="s">
        <v>1172</v>
      </c>
      <c r="O93" s="86" t="str">
        <f>IFERROR(_xlfn.XLOOKUP(C93, Data!$A$2:$A$236, Data!$C$2:$C$236), "")</f>
        <v>MD. Sir</v>
      </c>
    </row>
    <row r="94" spans="1:15" ht="30" x14ac:dyDescent="0.35">
      <c r="A94" s="80">
        <f t="shared" si="0"/>
        <v>128</v>
      </c>
      <c r="B94" s="81" t="s">
        <v>1872</v>
      </c>
      <c r="C94" s="44" t="s">
        <v>199</v>
      </c>
      <c r="D94" s="54" t="s">
        <v>32</v>
      </c>
      <c r="E94" s="50" t="s">
        <v>1873</v>
      </c>
      <c r="F94" s="82" t="s">
        <v>969</v>
      </c>
      <c r="G94" s="89">
        <v>46134</v>
      </c>
      <c r="H94" s="83">
        <v>121992.5</v>
      </c>
      <c r="I94" s="83"/>
      <c r="J94" s="83">
        <f>SUM(Table14[[#This Row],[LC Value]:[Amd Value]])</f>
        <v>121992.5</v>
      </c>
      <c r="K94" s="83">
        <v>2.98</v>
      </c>
      <c r="L94" s="84">
        <v>42100</v>
      </c>
      <c r="M94" s="85" t="s">
        <v>1010</v>
      </c>
      <c r="N94" s="85" t="s">
        <v>1172</v>
      </c>
      <c r="O94" s="86" t="str">
        <f>IFERROR(_xlfn.XLOOKUP(C94, Data!$A$2:$A$236, Data!$C$2:$C$236), "")</f>
        <v>MD. Sir</v>
      </c>
    </row>
    <row r="95" spans="1:15" ht="45" x14ac:dyDescent="0.35">
      <c r="A95" s="80">
        <f t="shared" si="0"/>
        <v>127</v>
      </c>
      <c r="B95" s="81" t="s">
        <v>1862</v>
      </c>
      <c r="C95" s="44" t="s">
        <v>1252</v>
      </c>
      <c r="D95" s="54" t="s">
        <v>39</v>
      </c>
      <c r="E95" s="50" t="s">
        <v>1863</v>
      </c>
      <c r="F95" s="82" t="s">
        <v>969</v>
      </c>
      <c r="G95" s="89">
        <v>46127</v>
      </c>
      <c r="H95" s="83">
        <v>30098</v>
      </c>
      <c r="I95" s="83"/>
      <c r="J95" s="83">
        <f>SUM(Table14[[#This Row],[LC Value]:[Amd Value]])</f>
        <v>30098</v>
      </c>
      <c r="K95" s="83">
        <v>2.98</v>
      </c>
      <c r="L95" s="84">
        <v>10100</v>
      </c>
      <c r="M95" s="85" t="s">
        <v>1010</v>
      </c>
      <c r="N95" s="85" t="s">
        <v>1172</v>
      </c>
      <c r="O95" s="86" t="str">
        <f>IFERROR(_xlfn.XLOOKUP(C95, Data!$A$2:$A$236, Data!$C$2:$C$236), "")</f>
        <v>Mr. Wadud Sir</v>
      </c>
    </row>
    <row r="96" spans="1:15" ht="30" x14ac:dyDescent="0.35">
      <c r="A96" s="80">
        <f t="shared" si="0"/>
        <v>126</v>
      </c>
      <c r="B96" s="81" t="s">
        <v>1855</v>
      </c>
      <c r="C96" s="44" t="s">
        <v>200</v>
      </c>
      <c r="D96" s="54" t="s">
        <v>79</v>
      </c>
      <c r="E96" s="50" t="s">
        <v>1856</v>
      </c>
      <c r="F96" s="82">
        <v>46119</v>
      </c>
      <c r="G96" s="89">
        <v>46131</v>
      </c>
      <c r="H96" s="83">
        <v>33750</v>
      </c>
      <c r="I96" s="83"/>
      <c r="J96" s="83">
        <f>SUM(Table14[[#This Row],[LC Value]:[Amd Value]])</f>
        <v>33750</v>
      </c>
      <c r="K96" s="83">
        <v>3.75</v>
      </c>
      <c r="L96" s="84">
        <v>9000</v>
      </c>
      <c r="M96" s="85" t="s">
        <v>1010</v>
      </c>
      <c r="N96" s="85" t="s">
        <v>1172</v>
      </c>
      <c r="O96" s="86" t="str">
        <f>IFERROR(_xlfn.XLOOKUP(C96, Data!$A$2:$A$236, Data!$C$2:$C$236), "")</f>
        <v>MD. Sir</v>
      </c>
    </row>
    <row r="97" spans="1:15" ht="30" x14ac:dyDescent="0.35">
      <c r="A97" s="80">
        <f t="shared" si="0"/>
        <v>125</v>
      </c>
      <c r="B97" s="81" t="s">
        <v>1793</v>
      </c>
      <c r="C97" s="44" t="s">
        <v>199</v>
      </c>
      <c r="D97" s="54" t="s">
        <v>32</v>
      </c>
      <c r="E97" s="50" t="s">
        <v>1794</v>
      </c>
      <c r="F97" s="82">
        <v>46119</v>
      </c>
      <c r="G97" s="89">
        <v>46121</v>
      </c>
      <c r="H97" s="83">
        <v>34027.5</v>
      </c>
      <c r="I97" s="83"/>
      <c r="J97" s="83">
        <f>SUM(Table14[[#This Row],[LC Value]:[Amd Value]])</f>
        <v>34027.5</v>
      </c>
      <c r="K97" s="83">
        <v>2.65</v>
      </c>
      <c r="L97" s="84">
        <v>12800</v>
      </c>
      <c r="M97" s="85" t="s">
        <v>1010</v>
      </c>
      <c r="N97" s="85" t="s">
        <v>1172</v>
      </c>
      <c r="O97" s="86" t="str">
        <f>IFERROR(_xlfn.XLOOKUP(C97, Data!$A$2:$A$236, Data!$C$2:$C$236), "")</f>
        <v>MD. Sir</v>
      </c>
    </row>
    <row r="98" spans="1:15" ht="30" x14ac:dyDescent="0.35">
      <c r="A98" s="80">
        <f t="shared" si="0"/>
        <v>124</v>
      </c>
      <c r="B98" s="81" t="s">
        <v>1754</v>
      </c>
      <c r="C98" s="44" t="s">
        <v>174</v>
      </c>
      <c r="D98" s="54" t="s">
        <v>2691</v>
      </c>
      <c r="E98" s="50" t="s">
        <v>1755</v>
      </c>
      <c r="F98" s="82" t="s">
        <v>618</v>
      </c>
      <c r="G98" s="89">
        <v>46120</v>
      </c>
      <c r="H98" s="83">
        <v>35000</v>
      </c>
      <c r="I98" s="83"/>
      <c r="J98" s="83">
        <f>SUM(Table14[[#This Row],[LC Value]:[Amd Value]])</f>
        <v>35000</v>
      </c>
      <c r="K98" s="83">
        <v>3.05</v>
      </c>
      <c r="L98" s="84">
        <v>4300</v>
      </c>
      <c r="M98" s="85" t="s">
        <v>1010</v>
      </c>
      <c r="N98" s="85" t="s">
        <v>1172</v>
      </c>
      <c r="O98" s="86" t="str">
        <f>IFERROR(_xlfn.XLOOKUP(C98, Data!$A$2:$A$236, Data!$C$2:$C$236), "")</f>
        <v>Mr. Reza Sir</v>
      </c>
    </row>
    <row r="99" spans="1:15" ht="30" x14ac:dyDescent="0.35">
      <c r="A99" s="80">
        <f t="shared" si="0"/>
        <v>123</v>
      </c>
      <c r="B99" s="81" t="s">
        <v>1752</v>
      </c>
      <c r="C99" s="44" t="s">
        <v>174</v>
      </c>
      <c r="D99" s="54" t="s">
        <v>2691</v>
      </c>
      <c r="E99" s="50" t="s">
        <v>1753</v>
      </c>
      <c r="F99" s="82" t="s">
        <v>618</v>
      </c>
      <c r="G99" s="89">
        <v>46120</v>
      </c>
      <c r="H99" s="83">
        <v>13435</v>
      </c>
      <c r="I99" s="83"/>
      <c r="J99" s="83">
        <f>SUM(Table14[[#This Row],[LC Value]:[Amd Value]])</f>
        <v>13435</v>
      </c>
      <c r="K99" s="83">
        <v>3.05</v>
      </c>
      <c r="L99" s="84">
        <v>4300</v>
      </c>
      <c r="M99" s="85" t="s">
        <v>1256</v>
      </c>
      <c r="N99" s="85" t="s">
        <v>1571</v>
      </c>
      <c r="O99" s="86" t="str">
        <f>IFERROR(_xlfn.XLOOKUP(C99, Data!$A$2:$A$236, Data!$C$2:$C$236), "")</f>
        <v>Mr. Reza Sir</v>
      </c>
    </row>
    <row r="100" spans="1:15" ht="45" x14ac:dyDescent="0.35">
      <c r="A100" s="80">
        <f t="shared" si="0"/>
        <v>122</v>
      </c>
      <c r="B100" s="81" t="s">
        <v>1748</v>
      </c>
      <c r="C100" s="44" t="s">
        <v>200</v>
      </c>
      <c r="D100" s="54" t="s">
        <v>135</v>
      </c>
      <c r="E100" s="50" t="s">
        <v>1749</v>
      </c>
      <c r="F100" s="82" t="s">
        <v>618</v>
      </c>
      <c r="G100" s="89">
        <v>46120</v>
      </c>
      <c r="H100" s="83">
        <v>55690</v>
      </c>
      <c r="I100" s="83"/>
      <c r="J100" s="83">
        <f>SUM(Table14[[#This Row],[LC Value]:[Amd Value]])</f>
        <v>55690</v>
      </c>
      <c r="K100" s="83">
        <v>3.1</v>
      </c>
      <c r="L100" s="84">
        <v>17750</v>
      </c>
      <c r="M100" s="85" t="s">
        <v>1256</v>
      </c>
      <c r="N100" s="85" t="s">
        <v>1571</v>
      </c>
      <c r="O100" s="86" t="str">
        <f>IFERROR(_xlfn.XLOOKUP(C100, Data!$A$2:$A$236, Data!$C$2:$C$236), "")</f>
        <v>MD. Sir</v>
      </c>
    </row>
    <row r="101" spans="1:15" ht="30" x14ac:dyDescent="0.35">
      <c r="A101" s="80">
        <f t="shared" si="0"/>
        <v>121</v>
      </c>
      <c r="B101" s="81" t="s">
        <v>1728</v>
      </c>
      <c r="C101" s="44" t="s">
        <v>1252</v>
      </c>
      <c r="D101" s="54" t="s">
        <v>45</v>
      </c>
      <c r="E101" s="50" t="s">
        <v>1729</v>
      </c>
      <c r="F101" s="82" t="s">
        <v>823</v>
      </c>
      <c r="G101" s="89">
        <v>46117</v>
      </c>
      <c r="H101" s="83">
        <v>28906</v>
      </c>
      <c r="I101" s="83"/>
      <c r="J101" s="83">
        <f>SUM(Table14[[#This Row],[LC Value]:[Amd Value]])</f>
        <v>28906</v>
      </c>
      <c r="K101" s="83">
        <v>2.98</v>
      </c>
      <c r="L101" s="84">
        <v>9700</v>
      </c>
      <c r="M101" s="85" t="s">
        <v>1256</v>
      </c>
      <c r="N101" s="85" t="s">
        <v>1571</v>
      </c>
      <c r="O101" s="86" t="str">
        <f>IFERROR(_xlfn.XLOOKUP(C101, Data!$A$2:$A$236, Data!$C$2:$C$236), "")</f>
        <v>Mr. Wadud Sir</v>
      </c>
    </row>
    <row r="102" spans="1:15" ht="30" x14ac:dyDescent="0.35">
      <c r="A102" s="80">
        <f t="shared" si="0"/>
        <v>120</v>
      </c>
      <c r="B102" s="81" t="s">
        <v>1713</v>
      </c>
      <c r="C102" s="44" t="s">
        <v>199</v>
      </c>
      <c r="D102" s="54" t="s">
        <v>98</v>
      </c>
      <c r="E102" s="50" t="s">
        <v>1714</v>
      </c>
      <c r="F102" s="82" t="s">
        <v>1196</v>
      </c>
      <c r="G102" s="89">
        <v>46119</v>
      </c>
      <c r="H102" s="83">
        <v>12880</v>
      </c>
      <c r="I102" s="83"/>
      <c r="J102" s="83">
        <f>SUM(Table14[[#This Row],[LC Value]:[Amd Value]])</f>
        <v>12880</v>
      </c>
      <c r="K102" s="83">
        <v>2.8</v>
      </c>
      <c r="L102" s="84">
        <v>4600</v>
      </c>
      <c r="M102" s="85" t="s">
        <v>1095</v>
      </c>
      <c r="N102" s="85" t="s">
        <v>1715</v>
      </c>
      <c r="O102" s="86" t="str">
        <f>IFERROR(_xlfn.XLOOKUP(C102, Data!$A$2:$A$236, Data!$C$2:$C$236), "")</f>
        <v>MD. Sir</v>
      </c>
    </row>
    <row r="103" spans="1:15" ht="30" x14ac:dyDescent="0.35">
      <c r="A103" s="80">
        <f t="shared" si="0"/>
        <v>119</v>
      </c>
      <c r="B103" s="81" t="s">
        <v>1696</v>
      </c>
      <c r="C103" s="44" t="s">
        <v>200</v>
      </c>
      <c r="D103" s="54" t="s">
        <v>79</v>
      </c>
      <c r="E103" s="50" t="s">
        <v>1697</v>
      </c>
      <c r="F103" s="82" t="s">
        <v>969</v>
      </c>
      <c r="G103" s="89">
        <v>46119</v>
      </c>
      <c r="H103" s="83">
        <v>17200</v>
      </c>
      <c r="I103" s="83"/>
      <c r="J103" s="83">
        <f>SUM(Table14[[#This Row],[LC Value]:[Amd Value]])</f>
        <v>17200</v>
      </c>
      <c r="K103" s="83">
        <v>4.3</v>
      </c>
      <c r="L103" s="84">
        <v>4000</v>
      </c>
      <c r="M103" s="85" t="s">
        <v>1246</v>
      </c>
      <c r="N103" s="85" t="s">
        <v>1698</v>
      </c>
      <c r="O103" s="86" t="str">
        <f>IFERROR(_xlfn.XLOOKUP(C103, Data!$A$2:$A$236, Data!$C$2:$C$236), "")</f>
        <v>MD. Sir</v>
      </c>
    </row>
    <row r="104" spans="1:15" ht="30" x14ac:dyDescent="0.35">
      <c r="A104" s="80">
        <f t="shared" si="0"/>
        <v>118</v>
      </c>
      <c r="B104" s="81" t="s">
        <v>1678</v>
      </c>
      <c r="C104" s="44" t="s">
        <v>178</v>
      </c>
      <c r="D104" s="54" t="s">
        <v>2691</v>
      </c>
      <c r="E104" s="50" t="s">
        <v>1679</v>
      </c>
      <c r="F104" s="82" t="s">
        <v>969</v>
      </c>
      <c r="G104" s="89">
        <v>46117</v>
      </c>
      <c r="H104" s="83">
        <v>45107.5</v>
      </c>
      <c r="I104" s="83"/>
      <c r="J104" s="83">
        <f>SUM(Table14[[#This Row],[LC Value]:[Amd Value]])</f>
        <v>45107.5</v>
      </c>
      <c r="K104" s="83">
        <v>3.4</v>
      </c>
      <c r="L104" s="84">
        <v>12500</v>
      </c>
      <c r="M104" s="85" t="s">
        <v>1010</v>
      </c>
      <c r="N104" s="85" t="s">
        <v>1172</v>
      </c>
      <c r="O104" s="86" t="str">
        <f>IFERROR(_xlfn.XLOOKUP(C104, Data!$A$2:$A$236, Data!$C$2:$C$236), "")</f>
        <v>Mr. Reza Sir</v>
      </c>
    </row>
    <row r="105" spans="1:15" ht="45" x14ac:dyDescent="0.35">
      <c r="A105" s="80">
        <f t="shared" si="0"/>
        <v>117</v>
      </c>
      <c r="B105" s="81" t="s">
        <v>1650</v>
      </c>
      <c r="C105" s="44" t="s">
        <v>199</v>
      </c>
      <c r="D105" s="54" t="s">
        <v>353</v>
      </c>
      <c r="E105" s="50" t="s">
        <v>1651</v>
      </c>
      <c r="F105" s="82" t="s">
        <v>676</v>
      </c>
      <c r="G105" s="89">
        <v>46113</v>
      </c>
      <c r="H105" s="83">
        <v>23655</v>
      </c>
      <c r="I105" s="83"/>
      <c r="J105" s="83">
        <f>SUM(Table14[[#This Row],[LC Value]:[Amd Value]])</f>
        <v>23655</v>
      </c>
      <c r="K105" s="83">
        <v>2.85</v>
      </c>
      <c r="L105" s="84">
        <v>8300</v>
      </c>
      <c r="M105" s="85" t="s">
        <v>1256</v>
      </c>
      <c r="N105" s="85" t="s">
        <v>1571</v>
      </c>
      <c r="O105" s="86" t="str">
        <f>IFERROR(_xlfn.XLOOKUP(C105, Data!$A$2:$A$236, Data!$C$2:$C$236), "")</f>
        <v>MD. Sir</v>
      </c>
    </row>
    <row r="106" spans="1:15" ht="30" x14ac:dyDescent="0.35">
      <c r="A106" s="80">
        <f t="shared" si="0"/>
        <v>116</v>
      </c>
      <c r="B106" s="81" t="s">
        <v>1648</v>
      </c>
      <c r="C106" s="44" t="s">
        <v>200</v>
      </c>
      <c r="D106" s="54" t="s">
        <v>32</v>
      </c>
      <c r="E106" s="50" t="s">
        <v>1649</v>
      </c>
      <c r="F106" s="82" t="s">
        <v>676</v>
      </c>
      <c r="G106" s="89">
        <v>46113</v>
      </c>
      <c r="H106" s="83">
        <v>31680</v>
      </c>
      <c r="I106" s="83"/>
      <c r="J106" s="83">
        <f>SUM(Table14[[#This Row],[LC Value]:[Amd Value]])</f>
        <v>31680</v>
      </c>
      <c r="K106" s="83">
        <v>4.95</v>
      </c>
      <c r="L106" s="84">
        <v>6400</v>
      </c>
      <c r="M106" s="85" t="s">
        <v>1256</v>
      </c>
      <c r="N106" s="85" t="s">
        <v>1571</v>
      </c>
      <c r="O106" s="86" t="str">
        <f>IFERROR(_xlfn.XLOOKUP(C106, Data!$A$2:$A$236, Data!$C$2:$C$236), "")</f>
        <v>MD. Sir</v>
      </c>
    </row>
    <row r="107" spans="1:15" ht="45" x14ac:dyDescent="0.35">
      <c r="A107" s="80">
        <f t="shared" si="0"/>
        <v>115</v>
      </c>
      <c r="B107" s="81" t="s">
        <v>1644</v>
      </c>
      <c r="C107" s="44" t="s">
        <v>200</v>
      </c>
      <c r="D107" s="54" t="s">
        <v>135</v>
      </c>
      <c r="E107" s="50" t="s">
        <v>1645</v>
      </c>
      <c r="F107" s="82" t="s">
        <v>676</v>
      </c>
      <c r="G107" s="89">
        <v>46113</v>
      </c>
      <c r="H107" s="83">
        <v>42142.5</v>
      </c>
      <c r="I107" s="83"/>
      <c r="J107" s="83">
        <f>SUM(Table14[[#This Row],[LC Value]:[Amd Value]])</f>
        <v>42142.5</v>
      </c>
      <c r="K107" s="83">
        <v>4.95</v>
      </c>
      <c r="L107" s="84">
        <v>8550</v>
      </c>
      <c r="M107" s="85" t="s">
        <v>1131</v>
      </c>
      <c r="N107" s="85" t="s">
        <v>1332</v>
      </c>
      <c r="O107" s="86" t="str">
        <f>IFERROR(_xlfn.XLOOKUP(C107, Data!$A$2:$A$236, Data!$C$2:$C$236), "")</f>
        <v>MD. Sir</v>
      </c>
    </row>
    <row r="108" spans="1:15" ht="30" x14ac:dyDescent="0.35">
      <c r="A108" s="80">
        <f t="shared" si="0"/>
        <v>114</v>
      </c>
      <c r="B108" s="81" t="s">
        <v>1637</v>
      </c>
      <c r="C108" s="44" t="s">
        <v>199</v>
      </c>
      <c r="D108" s="54" t="s">
        <v>32</v>
      </c>
      <c r="E108" s="50" t="s">
        <v>1638</v>
      </c>
      <c r="F108" s="82" t="s">
        <v>1466</v>
      </c>
      <c r="G108" s="89">
        <v>46113</v>
      </c>
      <c r="H108" s="83">
        <v>141035</v>
      </c>
      <c r="I108" s="83"/>
      <c r="J108" s="83">
        <f>SUM(Table14[[#This Row],[LC Value]:[Amd Value]])</f>
        <v>141035</v>
      </c>
      <c r="K108" s="83">
        <v>2.9</v>
      </c>
      <c r="L108" s="84">
        <v>48300</v>
      </c>
      <c r="M108" s="85" t="s">
        <v>951</v>
      </c>
      <c r="N108" s="85" t="s">
        <v>1255</v>
      </c>
      <c r="O108" s="86" t="str">
        <f>IFERROR(_xlfn.XLOOKUP(C108, Data!$A$2:$A$236, Data!$C$2:$C$236), "")</f>
        <v>MD. Sir</v>
      </c>
    </row>
    <row r="109" spans="1:15" ht="30" x14ac:dyDescent="0.35">
      <c r="A109" s="80">
        <f t="shared" si="0"/>
        <v>113</v>
      </c>
      <c r="B109" s="81" t="s">
        <v>1607</v>
      </c>
      <c r="C109" s="44" t="s">
        <v>200</v>
      </c>
      <c r="D109" s="54" t="s">
        <v>98</v>
      </c>
      <c r="E109" s="50" t="s">
        <v>1608</v>
      </c>
      <c r="F109" s="82" t="s">
        <v>1466</v>
      </c>
      <c r="G109" s="89">
        <v>46113</v>
      </c>
      <c r="H109" s="83">
        <v>146182.5</v>
      </c>
      <c r="I109" s="83"/>
      <c r="J109" s="83">
        <f>SUM(Table14[[#This Row],[LC Value]:[Amd Value]])</f>
        <v>146182.5</v>
      </c>
      <c r="K109" s="83">
        <v>4.45</v>
      </c>
      <c r="L109" s="84">
        <v>32850</v>
      </c>
      <c r="M109" s="85" t="s">
        <v>951</v>
      </c>
      <c r="N109" s="85" t="s">
        <v>1255</v>
      </c>
      <c r="O109" s="86" t="str">
        <f>IFERROR(_xlfn.XLOOKUP(C109, Data!$A$2:$A$236, Data!$C$2:$C$236), "")</f>
        <v>MD. Sir</v>
      </c>
    </row>
    <row r="110" spans="1:15" ht="45" x14ac:dyDescent="0.35">
      <c r="A110" s="80">
        <f t="shared" si="0"/>
        <v>112</v>
      </c>
      <c r="B110" s="81" t="s">
        <v>1598</v>
      </c>
      <c r="C110" s="44" t="s">
        <v>200</v>
      </c>
      <c r="D110" s="54" t="s">
        <v>135</v>
      </c>
      <c r="E110" s="50" t="s">
        <v>1599</v>
      </c>
      <c r="F110" s="82" t="s">
        <v>1466</v>
      </c>
      <c r="G110" s="89">
        <v>46113</v>
      </c>
      <c r="H110" s="83">
        <v>10780</v>
      </c>
      <c r="I110" s="83"/>
      <c r="J110" s="83">
        <f>SUM(Table14[[#This Row],[LC Value]:[Amd Value]])</f>
        <v>10780</v>
      </c>
      <c r="K110" s="83">
        <v>4.9000000000000004</v>
      </c>
      <c r="L110" s="84">
        <v>2200</v>
      </c>
      <c r="M110" s="85" t="s">
        <v>1256</v>
      </c>
      <c r="N110" s="85" t="s">
        <v>1571</v>
      </c>
      <c r="O110" s="86" t="str">
        <f>IFERROR(_xlfn.XLOOKUP(C110, Data!$A$2:$A$236, Data!$C$2:$C$236), "")</f>
        <v>MD. Sir</v>
      </c>
    </row>
    <row r="111" spans="1:15" ht="45" x14ac:dyDescent="0.35">
      <c r="A111" s="80">
        <f t="shared" si="0"/>
        <v>111</v>
      </c>
      <c r="B111" s="81" t="s">
        <v>1589</v>
      </c>
      <c r="C111" s="44" t="s">
        <v>200</v>
      </c>
      <c r="D111" s="54" t="s">
        <v>135</v>
      </c>
      <c r="E111" s="50" t="s">
        <v>1590</v>
      </c>
      <c r="F111" s="82" t="s">
        <v>782</v>
      </c>
      <c r="G111" s="89">
        <v>46112</v>
      </c>
      <c r="H111" s="83">
        <v>24675</v>
      </c>
      <c r="I111" s="83"/>
      <c r="J111" s="83">
        <f>SUM(Table14[[#This Row],[LC Value]:[Amd Value]])</f>
        <v>24675</v>
      </c>
      <c r="K111" s="83">
        <v>3.5</v>
      </c>
      <c r="L111" s="84">
        <v>7050</v>
      </c>
      <c r="M111" s="85" t="s">
        <v>807</v>
      </c>
      <c r="N111" s="85" t="s">
        <v>1094</v>
      </c>
      <c r="O111" s="86" t="str">
        <f>IFERROR(_xlfn.XLOOKUP(C111, Data!$A$2:$A$236, Data!$C$2:$C$236), "")</f>
        <v>MD. Sir</v>
      </c>
    </row>
    <row r="112" spans="1:15" ht="45" x14ac:dyDescent="0.35">
      <c r="A112" s="80">
        <f t="shared" si="0"/>
        <v>110</v>
      </c>
      <c r="B112" s="81" t="s">
        <v>1555</v>
      </c>
      <c r="C112" s="44" t="s">
        <v>200</v>
      </c>
      <c r="D112" s="54" t="s">
        <v>135</v>
      </c>
      <c r="E112" s="50" t="s">
        <v>1556</v>
      </c>
      <c r="F112" s="82" t="s">
        <v>452</v>
      </c>
      <c r="G112" s="89">
        <v>46111</v>
      </c>
      <c r="H112" s="83">
        <v>24487.5</v>
      </c>
      <c r="I112" s="83"/>
      <c r="J112" s="83">
        <f>SUM(Table14[[#This Row],[LC Value]:[Amd Value]])</f>
        <v>24487.5</v>
      </c>
      <c r="K112" s="83">
        <v>3.55</v>
      </c>
      <c r="L112" s="84">
        <v>6950</v>
      </c>
      <c r="M112" s="85" t="s">
        <v>807</v>
      </c>
      <c r="N112" s="85" t="s">
        <v>1094</v>
      </c>
      <c r="O112" s="86" t="str">
        <f>IFERROR(_xlfn.XLOOKUP(C112, Data!$A$2:$A$236, Data!$C$2:$C$236), "")</f>
        <v>MD. Sir</v>
      </c>
    </row>
    <row r="113" spans="1:15" ht="45" x14ac:dyDescent="0.35">
      <c r="A113" s="80">
        <f t="shared" si="0"/>
        <v>109</v>
      </c>
      <c r="B113" s="81" t="s">
        <v>1553</v>
      </c>
      <c r="C113" s="44" t="s">
        <v>200</v>
      </c>
      <c r="D113" s="54" t="s">
        <v>135</v>
      </c>
      <c r="E113" s="50" t="s">
        <v>1554</v>
      </c>
      <c r="F113" s="82" t="s">
        <v>452</v>
      </c>
      <c r="G113" s="89">
        <v>46109</v>
      </c>
      <c r="H113" s="83">
        <v>10350</v>
      </c>
      <c r="I113" s="83"/>
      <c r="J113" s="83">
        <f>SUM(Table14[[#This Row],[LC Value]:[Amd Value]])</f>
        <v>10350</v>
      </c>
      <c r="K113" s="83">
        <v>3.2</v>
      </c>
      <c r="L113" s="84">
        <v>7850</v>
      </c>
      <c r="M113" s="85" t="s">
        <v>807</v>
      </c>
      <c r="N113" s="85" t="s">
        <v>1094</v>
      </c>
      <c r="O113" s="86" t="str">
        <f>IFERROR(_xlfn.XLOOKUP(C113, Data!$A$2:$A$236, Data!$C$2:$C$236), "")</f>
        <v>MD. Sir</v>
      </c>
    </row>
    <row r="114" spans="1:15" ht="30" x14ac:dyDescent="0.35">
      <c r="A114" s="80">
        <f t="shared" si="0"/>
        <v>108</v>
      </c>
      <c r="B114" s="81" t="s">
        <v>1541</v>
      </c>
      <c r="C114" s="44" t="s">
        <v>199</v>
      </c>
      <c r="D114" s="54" t="s">
        <v>32</v>
      </c>
      <c r="E114" s="50" t="s">
        <v>1542</v>
      </c>
      <c r="F114" s="82" t="s">
        <v>452</v>
      </c>
      <c r="G114" s="89">
        <v>46109</v>
      </c>
      <c r="H114" s="83">
        <v>25120</v>
      </c>
      <c r="I114" s="83"/>
      <c r="J114" s="83">
        <f>SUM(Table14[[#This Row],[LC Value]:[Amd Value]])</f>
        <v>25120</v>
      </c>
      <c r="K114" s="83">
        <v>3.2</v>
      </c>
      <c r="L114" s="84">
        <v>7850</v>
      </c>
      <c r="M114" s="85" t="s">
        <v>807</v>
      </c>
      <c r="N114" s="85" t="s">
        <v>1094</v>
      </c>
      <c r="O114" s="86" t="str">
        <f>IFERROR(_xlfn.XLOOKUP(C114, Data!$A$2:$A$236, Data!$C$2:$C$236), "")</f>
        <v>MD. Sir</v>
      </c>
    </row>
    <row r="115" spans="1:15" ht="30" x14ac:dyDescent="0.35">
      <c r="A115" s="80">
        <f t="shared" si="0"/>
        <v>107</v>
      </c>
      <c r="B115" s="81" t="s">
        <v>623</v>
      </c>
      <c r="C115" s="44" t="s">
        <v>220</v>
      </c>
      <c r="D115" s="54" t="s">
        <v>1461</v>
      </c>
      <c r="E115" s="50" t="s">
        <v>1530</v>
      </c>
      <c r="F115" s="82" t="s">
        <v>627</v>
      </c>
      <c r="G115" s="89">
        <v>46110</v>
      </c>
      <c r="H115" s="83">
        <v>22117.5</v>
      </c>
      <c r="I115" s="83"/>
      <c r="J115" s="83">
        <f>SUM(Table14[[#This Row],[LC Value]:[Amd Value]])</f>
        <v>22117.5</v>
      </c>
      <c r="K115" s="83">
        <v>5.9</v>
      </c>
      <c r="L115" s="84">
        <v>8650</v>
      </c>
      <c r="M115" s="85" t="s">
        <v>807</v>
      </c>
      <c r="N115" s="85" t="s">
        <v>1094</v>
      </c>
      <c r="O115" s="86" t="str">
        <f>IFERROR(_xlfn.XLOOKUP(C115, Data!$A$2:$A$236, Data!$C$2:$C$236), "")</f>
        <v>Mr. Reza Sir</v>
      </c>
    </row>
    <row r="116" spans="1:15" ht="30" x14ac:dyDescent="0.35">
      <c r="A116" s="80">
        <f t="shared" si="0"/>
        <v>106</v>
      </c>
      <c r="B116" s="81" t="s">
        <v>1528</v>
      </c>
      <c r="C116" s="44" t="s">
        <v>220</v>
      </c>
      <c r="D116" s="54" t="s">
        <v>1461</v>
      </c>
      <c r="E116" s="50" t="s">
        <v>1529</v>
      </c>
      <c r="F116" s="82" t="s">
        <v>627</v>
      </c>
      <c r="G116" s="89">
        <v>46110</v>
      </c>
      <c r="H116" s="83">
        <v>24705</v>
      </c>
      <c r="I116" s="83"/>
      <c r="J116" s="83">
        <f>SUM(Table14[[#This Row],[LC Value]:[Amd Value]])</f>
        <v>24705</v>
      </c>
      <c r="K116" s="83">
        <v>5.9</v>
      </c>
      <c r="L116" s="84">
        <v>8650</v>
      </c>
      <c r="M116" s="85" t="s">
        <v>807</v>
      </c>
      <c r="N116" s="85" t="s">
        <v>1094</v>
      </c>
      <c r="O116" s="86" t="str">
        <f>IFERROR(_xlfn.XLOOKUP(C116, Data!$A$2:$A$236, Data!$C$2:$C$236), "")</f>
        <v>Mr. Reza Sir</v>
      </c>
    </row>
    <row r="117" spans="1:15" ht="30" x14ac:dyDescent="0.35">
      <c r="A117" s="80">
        <f t="shared" si="0"/>
        <v>105</v>
      </c>
      <c r="B117" s="81" t="s">
        <v>1526</v>
      </c>
      <c r="C117" s="44" t="s">
        <v>220</v>
      </c>
      <c r="D117" s="54" t="s">
        <v>1461</v>
      </c>
      <c r="E117" s="50" t="s">
        <v>1527</v>
      </c>
      <c r="F117" s="82" t="s">
        <v>627</v>
      </c>
      <c r="G117" s="89">
        <v>46110</v>
      </c>
      <c r="H117" s="83">
        <v>27645</v>
      </c>
      <c r="I117" s="83"/>
      <c r="J117" s="83">
        <f>SUM(Table14[[#This Row],[LC Value]:[Amd Value]])</f>
        <v>27645</v>
      </c>
      <c r="K117" s="83">
        <v>5.9</v>
      </c>
      <c r="L117" s="84">
        <v>9700</v>
      </c>
      <c r="M117" s="85" t="s">
        <v>807</v>
      </c>
      <c r="N117" s="85" t="s">
        <v>1094</v>
      </c>
      <c r="O117" s="86" t="str">
        <f>IFERROR(_xlfn.XLOOKUP(C117, Data!$A$2:$A$236, Data!$C$2:$C$236), "")</f>
        <v>Mr. Reza Sir</v>
      </c>
    </row>
    <row r="118" spans="1:15" ht="30" x14ac:dyDescent="0.35">
      <c r="A118" s="80">
        <f t="shared" si="0"/>
        <v>104</v>
      </c>
      <c r="B118" s="81" t="s">
        <v>1524</v>
      </c>
      <c r="C118" s="44" t="s">
        <v>220</v>
      </c>
      <c r="D118" s="54" t="s">
        <v>1461</v>
      </c>
      <c r="E118" s="50" t="s">
        <v>1525</v>
      </c>
      <c r="F118" s="82" t="s">
        <v>627</v>
      </c>
      <c r="G118" s="89">
        <v>46110</v>
      </c>
      <c r="H118" s="83">
        <v>54782.5</v>
      </c>
      <c r="I118" s="83"/>
      <c r="J118" s="83">
        <f>SUM(Table14[[#This Row],[LC Value]:[Amd Value]])</f>
        <v>54782.5</v>
      </c>
      <c r="K118" s="83">
        <v>5.9</v>
      </c>
      <c r="L118" s="84">
        <v>18600</v>
      </c>
      <c r="M118" s="85" t="s">
        <v>807</v>
      </c>
      <c r="N118" s="85" t="s">
        <v>1094</v>
      </c>
      <c r="O118" s="86" t="str">
        <f>IFERROR(_xlfn.XLOOKUP(C118, Data!$A$2:$A$236, Data!$C$2:$C$236), "")</f>
        <v>Mr. Reza Sir</v>
      </c>
    </row>
    <row r="119" spans="1:15" ht="30" x14ac:dyDescent="0.35">
      <c r="A119" s="80">
        <f t="shared" si="0"/>
        <v>103</v>
      </c>
      <c r="B119" s="81" t="s">
        <v>1520</v>
      </c>
      <c r="C119" s="44" t="s">
        <v>220</v>
      </c>
      <c r="D119" s="54" t="s">
        <v>1461</v>
      </c>
      <c r="E119" s="50" t="s">
        <v>1521</v>
      </c>
      <c r="F119" s="82" t="s">
        <v>627</v>
      </c>
      <c r="G119" s="89">
        <v>46110</v>
      </c>
      <c r="H119" s="83">
        <v>13082.5</v>
      </c>
      <c r="I119" s="83"/>
      <c r="J119" s="83">
        <f>SUM(Table14[[#This Row],[LC Value]:[Amd Value]])</f>
        <v>13082.5</v>
      </c>
      <c r="K119" s="83">
        <v>5.9</v>
      </c>
      <c r="L119" s="84">
        <v>4400</v>
      </c>
      <c r="M119" s="85" t="s">
        <v>807</v>
      </c>
      <c r="N119" s="85" t="s">
        <v>1094</v>
      </c>
      <c r="O119" s="86" t="str">
        <f>IFERROR(_xlfn.XLOOKUP(C119, Data!$A$2:$A$236, Data!$C$2:$C$236), "")</f>
        <v>Mr. Reza Sir</v>
      </c>
    </row>
    <row r="120" spans="1:15" ht="30" x14ac:dyDescent="0.35">
      <c r="A120" s="80">
        <f t="shared" si="0"/>
        <v>102</v>
      </c>
      <c r="B120" s="81" t="s">
        <v>1504</v>
      </c>
      <c r="C120" s="44" t="s">
        <v>200</v>
      </c>
      <c r="D120" s="54" t="s">
        <v>32</v>
      </c>
      <c r="E120" s="50" t="s">
        <v>1505</v>
      </c>
      <c r="F120" s="82" t="s">
        <v>627</v>
      </c>
      <c r="G120" s="89">
        <v>46109</v>
      </c>
      <c r="H120" s="83">
        <v>164165</v>
      </c>
      <c r="I120" s="83"/>
      <c r="J120" s="83">
        <f>SUM(Table14[[#This Row],[LC Value]:[Amd Value]])</f>
        <v>164165</v>
      </c>
      <c r="K120" s="83">
        <v>5.9</v>
      </c>
      <c r="L120" s="84">
        <v>29100</v>
      </c>
      <c r="M120" s="85" t="s">
        <v>807</v>
      </c>
      <c r="N120" s="85" t="s">
        <v>1094</v>
      </c>
      <c r="O120" s="86" t="str">
        <f>IFERROR(_xlfn.XLOOKUP(C120, Data!$A$2:$A$236, Data!$C$2:$C$236), "")</f>
        <v>MD. Sir</v>
      </c>
    </row>
    <row r="121" spans="1:15" ht="45" x14ac:dyDescent="0.35">
      <c r="A121" s="80">
        <f t="shared" si="0"/>
        <v>101</v>
      </c>
      <c r="B121" s="81" t="s">
        <v>1502</v>
      </c>
      <c r="C121" s="44" t="s">
        <v>199</v>
      </c>
      <c r="D121" s="54" t="s">
        <v>353</v>
      </c>
      <c r="E121" s="50" t="s">
        <v>1503</v>
      </c>
      <c r="F121" s="82" t="s">
        <v>627</v>
      </c>
      <c r="G121" s="89">
        <v>46110</v>
      </c>
      <c r="H121" s="83">
        <v>49140</v>
      </c>
      <c r="I121" s="83"/>
      <c r="J121" s="83">
        <f>SUM(Table14[[#This Row],[LC Value]:[Amd Value]])</f>
        <v>49140</v>
      </c>
      <c r="K121" s="83">
        <v>2.6</v>
      </c>
      <c r="L121" s="84">
        <v>18900</v>
      </c>
      <c r="M121" s="85" t="s">
        <v>807</v>
      </c>
      <c r="N121" s="85" t="s">
        <v>1094</v>
      </c>
      <c r="O121" s="86" t="str">
        <f>IFERROR(_xlfn.XLOOKUP(C121, Data!$A$2:$A$236, Data!$C$2:$C$236), "")</f>
        <v>MD. Sir</v>
      </c>
    </row>
    <row r="122" spans="1:15" ht="30" x14ac:dyDescent="0.35">
      <c r="A122" s="80">
        <f t="shared" si="0"/>
        <v>100</v>
      </c>
      <c r="B122" s="81" t="s">
        <v>1500</v>
      </c>
      <c r="C122" s="44" t="s">
        <v>200</v>
      </c>
      <c r="D122" s="54" t="s">
        <v>98</v>
      </c>
      <c r="E122" s="50" t="s">
        <v>1501</v>
      </c>
      <c r="F122" s="82" t="s">
        <v>627</v>
      </c>
      <c r="G122" s="89">
        <v>46109</v>
      </c>
      <c r="H122" s="83">
        <v>274195</v>
      </c>
      <c r="I122" s="83"/>
      <c r="J122" s="83">
        <f>SUM(Table14[[#This Row],[LC Value]:[Amd Value]])</f>
        <v>274195</v>
      </c>
      <c r="K122" s="83">
        <v>4.5</v>
      </c>
      <c r="L122" s="84">
        <v>61350</v>
      </c>
      <c r="M122" s="85" t="s">
        <v>807</v>
      </c>
      <c r="N122" s="85" t="s">
        <v>1094</v>
      </c>
      <c r="O122" s="86" t="str">
        <f>IFERROR(_xlfn.XLOOKUP(C122, Data!$A$2:$A$236, Data!$C$2:$C$236), "")</f>
        <v>MD. Sir</v>
      </c>
    </row>
    <row r="123" spans="1:15" ht="30" x14ac:dyDescent="0.35">
      <c r="A123" s="80">
        <f t="shared" si="0"/>
        <v>99</v>
      </c>
      <c r="B123" s="81" t="s">
        <v>620</v>
      </c>
      <c r="C123" s="44" t="s">
        <v>220</v>
      </c>
      <c r="D123" s="54" t="s">
        <v>45</v>
      </c>
      <c r="E123" s="50" t="s">
        <v>1497</v>
      </c>
      <c r="F123" s="82" t="s">
        <v>416</v>
      </c>
      <c r="G123" s="89">
        <v>46096</v>
      </c>
      <c r="H123" s="83">
        <v>56492.5</v>
      </c>
      <c r="I123" s="83"/>
      <c r="J123" s="83">
        <f>SUM(Table14[[#This Row],[LC Value]:[Amd Value]])</f>
        <v>56492.5</v>
      </c>
      <c r="K123" s="83">
        <v>2.95</v>
      </c>
      <c r="L123" s="84">
        <v>19150</v>
      </c>
      <c r="M123" s="85" t="s">
        <v>1476</v>
      </c>
      <c r="N123" s="85" t="s">
        <v>1475</v>
      </c>
      <c r="O123" s="86" t="str">
        <f>IFERROR(_xlfn.XLOOKUP(C123, Data!$A$2:$A$236, Data!$C$2:$C$236), "")</f>
        <v>Mr. Reza Sir</v>
      </c>
    </row>
    <row r="124" spans="1:15" ht="30" x14ac:dyDescent="0.35">
      <c r="A124" s="80">
        <f t="shared" si="0"/>
        <v>98</v>
      </c>
      <c r="B124" s="81" t="s">
        <v>1473</v>
      </c>
      <c r="C124" s="44" t="s">
        <v>200</v>
      </c>
      <c r="D124" s="54" t="s">
        <v>98</v>
      </c>
      <c r="E124" s="50" t="s">
        <v>1474</v>
      </c>
      <c r="F124" s="82" t="s">
        <v>416</v>
      </c>
      <c r="G124" s="89">
        <v>46096</v>
      </c>
      <c r="H124" s="83">
        <v>120450</v>
      </c>
      <c r="I124" s="83"/>
      <c r="J124" s="83">
        <f>SUM(Table14[[#This Row],[LC Value]:[Amd Value]])</f>
        <v>120450</v>
      </c>
      <c r="K124" s="83">
        <v>4.45</v>
      </c>
      <c r="L124" s="84">
        <v>27250</v>
      </c>
      <c r="M124" s="85" t="s">
        <v>1476</v>
      </c>
      <c r="N124" s="85" t="s">
        <v>1475</v>
      </c>
      <c r="O124" s="86" t="str">
        <f>IFERROR(_xlfn.XLOOKUP(C124, Data!$A$2:$A$236, Data!$C$2:$C$236), "")</f>
        <v>MD. Sir</v>
      </c>
    </row>
    <row r="125" spans="1:15" ht="30" x14ac:dyDescent="0.35">
      <c r="A125" s="80">
        <f t="shared" si="0"/>
        <v>97</v>
      </c>
      <c r="B125" s="81" t="s">
        <v>1460</v>
      </c>
      <c r="C125" s="44" t="s">
        <v>220</v>
      </c>
      <c r="D125" s="54" t="s">
        <v>1461</v>
      </c>
      <c r="E125" s="50" t="s">
        <v>1462</v>
      </c>
      <c r="F125" s="82" t="s">
        <v>416</v>
      </c>
      <c r="G125" s="89">
        <v>46096</v>
      </c>
      <c r="H125" s="83">
        <v>38585</v>
      </c>
      <c r="I125" s="83"/>
      <c r="J125" s="83">
        <f>SUM(Table14[[#This Row],[LC Value]:[Amd Value]])</f>
        <v>38585</v>
      </c>
      <c r="K125" s="83">
        <v>2.9</v>
      </c>
      <c r="L125" s="84">
        <v>13100</v>
      </c>
      <c r="M125" s="85" t="s">
        <v>1010</v>
      </c>
      <c r="N125" s="85" t="s">
        <v>1172</v>
      </c>
      <c r="O125" s="86" t="str">
        <f>IFERROR(_xlfn.XLOOKUP(C125, Data!$A$2:$A$236, Data!$C$2:$C$236), "")</f>
        <v>Mr. Reza Sir</v>
      </c>
    </row>
    <row r="126" spans="1:15" ht="45" x14ac:dyDescent="0.35">
      <c r="A126" s="80">
        <f t="shared" si="0"/>
        <v>96</v>
      </c>
      <c r="B126" s="81" t="s">
        <v>1438</v>
      </c>
      <c r="C126" s="44" t="s">
        <v>220</v>
      </c>
      <c r="D126" s="54" t="s">
        <v>135</v>
      </c>
      <c r="E126" s="50" t="s">
        <v>1439</v>
      </c>
      <c r="F126" s="82" t="s">
        <v>718</v>
      </c>
      <c r="G126" s="89">
        <v>46096</v>
      </c>
      <c r="H126" s="83">
        <v>30317.5</v>
      </c>
      <c r="I126" s="83"/>
      <c r="J126" s="83">
        <f>SUM(Table14[[#This Row],[LC Value]:[Amd Value]])</f>
        <v>30317.5</v>
      </c>
      <c r="K126" s="83">
        <v>2.8</v>
      </c>
      <c r="L126" s="84">
        <v>10400</v>
      </c>
      <c r="M126" s="85" t="s">
        <v>1440</v>
      </c>
      <c r="N126" s="85" t="s">
        <v>843</v>
      </c>
      <c r="O126" s="86" t="str">
        <f>IFERROR(_xlfn.XLOOKUP(C126, Data!$A$2:$A$236, Data!$C$2:$C$236), "")</f>
        <v>Mr. Reza Sir</v>
      </c>
    </row>
    <row r="127" spans="1:15" ht="30" x14ac:dyDescent="0.35">
      <c r="A127" s="80">
        <f t="shared" si="0"/>
        <v>95</v>
      </c>
      <c r="B127" s="81" t="s">
        <v>1434</v>
      </c>
      <c r="C127" s="44" t="s">
        <v>199</v>
      </c>
      <c r="D127" s="54" t="s">
        <v>32</v>
      </c>
      <c r="E127" s="50" t="s">
        <v>1435</v>
      </c>
      <c r="F127" s="82" t="s">
        <v>886</v>
      </c>
      <c r="G127" s="89">
        <v>46093</v>
      </c>
      <c r="H127" s="83">
        <v>81270</v>
      </c>
      <c r="I127" s="83"/>
      <c r="J127" s="83">
        <f>SUM(Table14[[#This Row],[LC Value]:[Amd Value]])</f>
        <v>81270</v>
      </c>
      <c r="K127" s="83">
        <v>2.7</v>
      </c>
      <c r="L127" s="84">
        <v>30100</v>
      </c>
      <c r="M127" s="85" t="s">
        <v>969</v>
      </c>
      <c r="N127" s="85" t="s">
        <v>968</v>
      </c>
      <c r="O127" s="86" t="str">
        <f>IFERROR(_xlfn.XLOOKUP(C127, Data!$A$2:$A$236, Data!$C$2:$C$236), "")</f>
        <v>MD. Sir</v>
      </c>
    </row>
    <row r="128" spans="1:15" ht="30" x14ac:dyDescent="0.35">
      <c r="A128" s="80">
        <f t="shared" si="0"/>
        <v>94</v>
      </c>
      <c r="B128" s="81" t="s">
        <v>1432</v>
      </c>
      <c r="C128" s="44" t="s">
        <v>200</v>
      </c>
      <c r="D128" s="54" t="s">
        <v>98</v>
      </c>
      <c r="E128" s="50" t="s">
        <v>1433</v>
      </c>
      <c r="F128" s="82" t="s">
        <v>886</v>
      </c>
      <c r="G128" s="89">
        <v>46093</v>
      </c>
      <c r="H128" s="83">
        <v>126900</v>
      </c>
      <c r="I128" s="83"/>
      <c r="J128" s="83">
        <f>SUM(Table14[[#This Row],[LC Value]:[Amd Value]])</f>
        <v>126900</v>
      </c>
      <c r="K128" s="83">
        <v>3.65</v>
      </c>
      <c r="L128" s="84">
        <v>28200</v>
      </c>
      <c r="M128" s="85" t="s">
        <v>969</v>
      </c>
      <c r="N128" s="85" t="s">
        <v>968</v>
      </c>
      <c r="O128" s="86" t="str">
        <f>IFERROR(_xlfn.XLOOKUP(C128, Data!$A$2:$A$236, Data!$C$2:$C$236), "")</f>
        <v>MD. Sir</v>
      </c>
    </row>
    <row r="129" spans="1:15" ht="30" x14ac:dyDescent="0.35">
      <c r="A129" s="80">
        <f t="shared" si="0"/>
        <v>93</v>
      </c>
      <c r="B129" s="81" t="s">
        <v>1430</v>
      </c>
      <c r="C129" s="44" t="s">
        <v>199</v>
      </c>
      <c r="D129" s="54" t="s">
        <v>98</v>
      </c>
      <c r="E129" s="50" t="s">
        <v>1431</v>
      </c>
      <c r="F129" s="82" t="s">
        <v>886</v>
      </c>
      <c r="G129" s="89">
        <v>46112</v>
      </c>
      <c r="H129" s="83">
        <v>11560</v>
      </c>
      <c r="I129" s="83"/>
      <c r="J129" s="83">
        <f>SUM(Table14[[#This Row],[LC Value]:[Amd Value]])</f>
        <v>11560</v>
      </c>
      <c r="K129" s="83">
        <v>3.65</v>
      </c>
      <c r="L129" s="84">
        <v>3150</v>
      </c>
      <c r="M129" s="85" t="s">
        <v>969</v>
      </c>
      <c r="N129" s="85" t="s">
        <v>968</v>
      </c>
      <c r="O129" s="86" t="str">
        <f>IFERROR(_xlfn.XLOOKUP(C129, Data!$A$2:$A$236, Data!$C$2:$C$236), "")</f>
        <v>MD. Sir</v>
      </c>
    </row>
    <row r="130" spans="1:15" ht="45" x14ac:dyDescent="0.35">
      <c r="A130" s="80">
        <f t="shared" si="0"/>
        <v>92</v>
      </c>
      <c r="B130" s="81" t="s">
        <v>1428</v>
      </c>
      <c r="C130" s="44" t="s">
        <v>199</v>
      </c>
      <c r="D130" s="54" t="s">
        <v>353</v>
      </c>
      <c r="E130" s="50" t="s">
        <v>1429</v>
      </c>
      <c r="F130" s="82" t="s">
        <v>886</v>
      </c>
      <c r="G130" s="89">
        <v>46093</v>
      </c>
      <c r="H130" s="83">
        <v>50825</v>
      </c>
      <c r="I130" s="83"/>
      <c r="J130" s="83">
        <f>SUM(Table14[[#This Row],[LC Value]:[Amd Value]])</f>
        <v>50825</v>
      </c>
      <c r="K130" s="83">
        <v>3.1</v>
      </c>
      <c r="L130" s="84">
        <v>15200</v>
      </c>
      <c r="M130" s="85" t="s">
        <v>969</v>
      </c>
      <c r="N130" s="85" t="s">
        <v>968</v>
      </c>
      <c r="O130" s="86" t="str">
        <f>IFERROR(_xlfn.XLOOKUP(C130, Data!$A$2:$A$236, Data!$C$2:$C$236), "")</f>
        <v>MD. Sir</v>
      </c>
    </row>
    <row r="131" spans="1:15" ht="30" x14ac:dyDescent="0.35">
      <c r="A131" s="80">
        <f t="shared" si="0"/>
        <v>91</v>
      </c>
      <c r="B131" s="81" t="s">
        <v>1426</v>
      </c>
      <c r="C131" s="44" t="s">
        <v>199</v>
      </c>
      <c r="D131" s="54" t="s">
        <v>32</v>
      </c>
      <c r="E131" s="50" t="s">
        <v>1427</v>
      </c>
      <c r="F131" s="82" t="s">
        <v>886</v>
      </c>
      <c r="G131" s="89">
        <v>46093</v>
      </c>
      <c r="H131" s="83">
        <v>55755</v>
      </c>
      <c r="I131" s="83"/>
      <c r="J131" s="83">
        <f>SUM(Table14[[#This Row],[LC Value]:[Amd Value]])</f>
        <v>55755</v>
      </c>
      <c r="K131" s="83">
        <v>3.1</v>
      </c>
      <c r="L131" s="84">
        <v>17700</v>
      </c>
      <c r="M131" s="85" t="s">
        <v>969</v>
      </c>
      <c r="N131" s="85" t="s">
        <v>968</v>
      </c>
      <c r="O131" s="86" t="str">
        <f>IFERROR(_xlfn.XLOOKUP(C131, Data!$A$2:$A$236, Data!$C$2:$C$236), "")</f>
        <v>MD. Sir</v>
      </c>
    </row>
    <row r="132" spans="1:15" ht="30" x14ac:dyDescent="0.35">
      <c r="A132" s="80">
        <f t="shared" si="0"/>
        <v>90</v>
      </c>
      <c r="B132" s="81" t="s">
        <v>1388</v>
      </c>
      <c r="C132" s="44" t="s">
        <v>199</v>
      </c>
      <c r="D132" s="54" t="s">
        <v>32</v>
      </c>
      <c r="E132" s="50" t="s">
        <v>1389</v>
      </c>
      <c r="F132" s="82" t="s">
        <v>581</v>
      </c>
      <c r="G132" s="89">
        <v>46093</v>
      </c>
      <c r="H132" s="83">
        <v>14105</v>
      </c>
      <c r="I132" s="83"/>
      <c r="J132" s="83">
        <f>SUM(Table14[[#This Row],[LC Value]:[Amd Value]])</f>
        <v>14105</v>
      </c>
      <c r="K132" s="83">
        <v>3.4</v>
      </c>
      <c r="L132" s="84">
        <v>4100</v>
      </c>
      <c r="M132" s="85" t="s">
        <v>1272</v>
      </c>
      <c r="N132" s="85" t="s">
        <v>1390</v>
      </c>
      <c r="O132" s="86" t="str">
        <f>IFERROR(_xlfn.XLOOKUP(C132, Data!$A$2:$A$236, Data!$C$2:$C$236), "")</f>
        <v>MD. Sir</v>
      </c>
    </row>
    <row r="133" spans="1:15" ht="30" x14ac:dyDescent="0.35">
      <c r="A133" s="80">
        <f t="shared" si="0"/>
        <v>89</v>
      </c>
      <c r="B133" s="81" t="s">
        <v>1357</v>
      </c>
      <c r="C133" s="44" t="s">
        <v>242</v>
      </c>
      <c r="D133" s="54" t="s">
        <v>298</v>
      </c>
      <c r="E133" s="50" t="s">
        <v>1358</v>
      </c>
      <c r="F133" s="82" t="s">
        <v>1341</v>
      </c>
      <c r="G133" s="89">
        <v>46093</v>
      </c>
      <c r="H133" s="83">
        <v>91745</v>
      </c>
      <c r="I133" s="83"/>
      <c r="J133" s="83">
        <f>SUM(Table14[[#This Row],[LC Value]:[Amd Value]])</f>
        <v>91745</v>
      </c>
      <c r="K133" s="83">
        <v>2.95</v>
      </c>
      <c r="L133" s="84">
        <v>31100</v>
      </c>
      <c r="M133" s="85" t="s">
        <v>843</v>
      </c>
      <c r="N133" s="85" t="s">
        <v>1010</v>
      </c>
      <c r="O133" s="86" t="str">
        <f>IFERROR(_xlfn.XLOOKUP(C133, Data!$A$2:$A$236, Data!$C$2:$C$236), "")</f>
        <v>Mr. Reza Sir</v>
      </c>
    </row>
    <row r="134" spans="1:15" ht="30" x14ac:dyDescent="0.35">
      <c r="A134" s="80">
        <f t="shared" si="0"/>
        <v>88</v>
      </c>
      <c r="B134" s="81" t="s">
        <v>1347</v>
      </c>
      <c r="C134" s="44" t="s">
        <v>199</v>
      </c>
      <c r="D134" s="54" t="s">
        <v>32</v>
      </c>
      <c r="E134" s="50" t="s">
        <v>1348</v>
      </c>
      <c r="F134" s="82" t="s">
        <v>1341</v>
      </c>
      <c r="G134" s="89">
        <v>46093</v>
      </c>
      <c r="H134" s="83">
        <v>31857.5</v>
      </c>
      <c r="I134" s="83"/>
      <c r="J134" s="83">
        <f>SUM(Table14[[#This Row],[LC Value]:[Amd Value]])</f>
        <v>31857.5</v>
      </c>
      <c r="K134" s="83">
        <v>2.75</v>
      </c>
      <c r="L134" s="84">
        <v>12400</v>
      </c>
      <c r="M134" s="85" t="s">
        <v>1010</v>
      </c>
      <c r="N134" s="85" t="s">
        <v>1172</v>
      </c>
      <c r="O134" s="86" t="str">
        <f>IFERROR(_xlfn.XLOOKUP(C134, Data!$A$2:$A$236, Data!$C$2:$C$236), "")</f>
        <v>MD. Sir</v>
      </c>
    </row>
    <row r="135" spans="1:15" ht="30" x14ac:dyDescent="0.35">
      <c r="A135" s="80">
        <f t="shared" si="0"/>
        <v>87</v>
      </c>
      <c r="B135" s="81" t="s">
        <v>1324</v>
      </c>
      <c r="C135" s="44" t="s">
        <v>1252</v>
      </c>
      <c r="D135" s="54" t="s">
        <v>45</v>
      </c>
      <c r="E135" s="50" t="s">
        <v>1325</v>
      </c>
      <c r="F135" s="82" t="s">
        <v>836</v>
      </c>
      <c r="G135" s="89">
        <v>46089</v>
      </c>
      <c r="H135" s="83">
        <f>29502+30694</f>
        <v>60196</v>
      </c>
      <c r="I135" s="83"/>
      <c r="J135" s="83">
        <f>SUM(Table14[[#This Row],[LC Value]:[Amd Value]])</f>
        <v>60196</v>
      </c>
      <c r="K135" s="83">
        <v>2.98</v>
      </c>
      <c r="L135" s="84">
        <f>9900+10300</f>
        <v>20200</v>
      </c>
      <c r="M135" s="85" t="s">
        <v>676</v>
      </c>
      <c r="N135" s="85" t="s">
        <v>1040</v>
      </c>
      <c r="O135" s="86" t="str">
        <f>IFERROR(_xlfn.XLOOKUP(C135, Data!$A$2:$A$236, Data!$C$2:$C$236), "")</f>
        <v>Mr. Wadud Sir</v>
      </c>
    </row>
    <row r="136" spans="1:15" ht="45" x14ac:dyDescent="0.35">
      <c r="A136" s="80">
        <f t="shared" si="0"/>
        <v>86</v>
      </c>
      <c r="B136" s="81" t="s">
        <v>1322</v>
      </c>
      <c r="C136" s="44" t="s">
        <v>199</v>
      </c>
      <c r="D136" s="54" t="s">
        <v>353</v>
      </c>
      <c r="E136" s="50" t="s">
        <v>1323</v>
      </c>
      <c r="F136" s="82" t="s">
        <v>836</v>
      </c>
      <c r="G136" s="89">
        <v>46089</v>
      </c>
      <c r="H136" s="83">
        <v>72840</v>
      </c>
      <c r="I136" s="83"/>
      <c r="J136" s="83">
        <f>SUM(Table14[[#This Row],[LC Value]:[Amd Value]])</f>
        <v>72840</v>
      </c>
      <c r="K136" s="83">
        <v>2.35</v>
      </c>
      <c r="L136" s="84">
        <v>29850</v>
      </c>
      <c r="M136" s="85" t="s">
        <v>676</v>
      </c>
      <c r="N136" s="85" t="s">
        <v>1040</v>
      </c>
      <c r="O136" s="86" t="str">
        <f>IFERROR(_xlfn.XLOOKUP(C136, Data!$A$2:$A$236, Data!$C$2:$C$236), "")</f>
        <v>MD. Sir</v>
      </c>
    </row>
    <row r="137" spans="1:15" ht="30" x14ac:dyDescent="0.35">
      <c r="A137" s="80">
        <f t="shared" si="0"/>
        <v>85</v>
      </c>
      <c r="B137" s="81" t="s">
        <v>1283</v>
      </c>
      <c r="C137" s="44" t="s">
        <v>199</v>
      </c>
      <c r="D137" s="54" t="s">
        <v>98</v>
      </c>
      <c r="E137" s="50" t="s">
        <v>1284</v>
      </c>
      <c r="F137" s="82" t="s">
        <v>441</v>
      </c>
      <c r="G137" s="89">
        <v>46086</v>
      </c>
      <c r="H137" s="83">
        <v>260000</v>
      </c>
      <c r="I137" s="83"/>
      <c r="J137" s="83">
        <f>SUM(Table14[[#This Row],[LC Value]:[Amd Value]])</f>
        <v>260000</v>
      </c>
      <c r="K137" s="83">
        <v>2.8</v>
      </c>
      <c r="L137" s="84">
        <v>93400</v>
      </c>
      <c r="M137" s="85" t="s">
        <v>782</v>
      </c>
      <c r="N137" s="85" t="s">
        <v>1272</v>
      </c>
      <c r="O137" s="86" t="str">
        <f>IFERROR(_xlfn.XLOOKUP(C137, Data!$A$2:$A$236, Data!$C$2:$C$236), "")</f>
        <v>MD. Sir</v>
      </c>
    </row>
    <row r="138" spans="1:15" ht="45" x14ac:dyDescent="0.35">
      <c r="A138" s="88">
        <f t="shared" si="0"/>
        <v>84</v>
      </c>
      <c r="B138" s="81" t="s">
        <v>1281</v>
      </c>
      <c r="C138" s="44" t="s">
        <v>199</v>
      </c>
      <c r="D138" s="54" t="s">
        <v>353</v>
      </c>
      <c r="E138" s="50" t="s">
        <v>1282</v>
      </c>
      <c r="F138" s="82" t="s">
        <v>441</v>
      </c>
      <c r="G138" s="89">
        <v>46086</v>
      </c>
      <c r="H138" s="83">
        <v>281350</v>
      </c>
      <c r="I138" s="83"/>
      <c r="J138" s="83">
        <f>SUM(Table14[[#This Row],[LC Value]:[Amd Value]])</f>
        <v>281350</v>
      </c>
      <c r="K138" s="83">
        <v>3</v>
      </c>
      <c r="L138" s="84">
        <v>117800</v>
      </c>
      <c r="M138" s="85" t="s">
        <v>782</v>
      </c>
      <c r="N138" s="85" t="s">
        <v>1272</v>
      </c>
      <c r="O138" s="86" t="str">
        <f>IFERROR(_xlfn.XLOOKUP(C138, Data!$A$2:$A$236, Data!$C$2:$C$236), "")</f>
        <v>MD. Sir</v>
      </c>
    </row>
    <row r="139" spans="1:15" ht="30" x14ac:dyDescent="0.35">
      <c r="A139" s="88">
        <f t="shared" si="0"/>
        <v>83</v>
      </c>
      <c r="B139" s="81" t="s">
        <v>1279</v>
      </c>
      <c r="C139" s="44" t="s">
        <v>199</v>
      </c>
      <c r="D139" s="54" t="s">
        <v>32</v>
      </c>
      <c r="E139" s="50" t="s">
        <v>1280</v>
      </c>
      <c r="F139" s="82" t="s">
        <v>441</v>
      </c>
      <c r="G139" s="89">
        <v>46086</v>
      </c>
      <c r="H139" s="83">
        <v>30450</v>
      </c>
      <c r="I139" s="83"/>
      <c r="J139" s="83">
        <f>SUM(Table14[[#This Row],[LC Value]:[Amd Value]])</f>
        <v>30450</v>
      </c>
      <c r="K139" s="83">
        <v>3</v>
      </c>
      <c r="L139" s="84">
        <v>10150</v>
      </c>
      <c r="M139" s="85" t="s">
        <v>782</v>
      </c>
      <c r="N139" s="85" t="s">
        <v>1272</v>
      </c>
      <c r="O139" s="86" t="str">
        <f>IFERROR(_xlfn.XLOOKUP(C139, Data!$A$2:$A$236, Data!$C$2:$C$236), "")</f>
        <v>MD. Sir</v>
      </c>
    </row>
    <row r="140" spans="1:15" ht="30" x14ac:dyDescent="0.35">
      <c r="A140" s="88">
        <f t="shared" si="0"/>
        <v>82</v>
      </c>
      <c r="B140" s="81" t="s">
        <v>1277</v>
      </c>
      <c r="C140" s="44" t="s">
        <v>199</v>
      </c>
      <c r="D140" s="54" t="s">
        <v>32</v>
      </c>
      <c r="E140" s="50" t="s">
        <v>1278</v>
      </c>
      <c r="F140" s="82" t="s">
        <v>441</v>
      </c>
      <c r="G140" s="89">
        <v>46086</v>
      </c>
      <c r="H140" s="83">
        <v>20662.5</v>
      </c>
      <c r="I140" s="83"/>
      <c r="J140" s="83">
        <f>SUM(Table14[[#This Row],[LC Value]:[Amd Value]])</f>
        <v>20662.5</v>
      </c>
      <c r="K140" s="83">
        <v>3.4</v>
      </c>
      <c r="L140" s="84">
        <v>20662.5</v>
      </c>
      <c r="M140" s="85" t="s">
        <v>782</v>
      </c>
      <c r="N140" s="85" t="s">
        <v>1272</v>
      </c>
      <c r="O140" s="86" t="str">
        <f>IFERROR(_xlfn.XLOOKUP(C140, Data!$A$2:$A$236, Data!$C$2:$C$236), "")</f>
        <v>MD. Sir</v>
      </c>
    </row>
    <row r="141" spans="1:15" ht="30" x14ac:dyDescent="0.35">
      <c r="A141" s="88">
        <f t="shared" si="0"/>
        <v>81</v>
      </c>
      <c r="B141" s="81" t="s">
        <v>1274</v>
      </c>
      <c r="C141" s="44" t="s">
        <v>199</v>
      </c>
      <c r="D141" s="54" t="s">
        <v>32</v>
      </c>
      <c r="E141" s="50" t="s">
        <v>1276</v>
      </c>
      <c r="F141" s="82" t="s">
        <v>441</v>
      </c>
      <c r="G141" s="89">
        <v>46086</v>
      </c>
      <c r="H141" s="83">
        <v>17622.5</v>
      </c>
      <c r="I141" s="83"/>
      <c r="J141" s="83">
        <f>SUM(Table14[[#This Row],[LC Value]:[Amd Value]])</f>
        <v>17622.5</v>
      </c>
      <c r="K141" s="83">
        <v>3.4</v>
      </c>
      <c r="L141" s="84">
        <v>6650</v>
      </c>
      <c r="M141" s="85" t="s">
        <v>782</v>
      </c>
      <c r="N141" s="85" t="s">
        <v>1272</v>
      </c>
      <c r="O141" s="86" t="str">
        <f>IFERROR(_xlfn.XLOOKUP(C141, Data!$A$2:$A$236, Data!$C$2:$C$236), "")</f>
        <v>MD. Sir</v>
      </c>
    </row>
    <row r="142" spans="1:15" ht="45" x14ac:dyDescent="0.35">
      <c r="A142" s="88">
        <f t="shared" si="0"/>
        <v>80</v>
      </c>
      <c r="B142" s="81" t="s">
        <v>1273</v>
      </c>
      <c r="C142" s="44" t="s">
        <v>200</v>
      </c>
      <c r="D142" s="54" t="s">
        <v>135</v>
      </c>
      <c r="E142" s="50" t="s">
        <v>1275</v>
      </c>
      <c r="F142" s="82" t="s">
        <v>441</v>
      </c>
      <c r="G142" s="89">
        <v>46086</v>
      </c>
      <c r="H142" s="83">
        <v>27101</v>
      </c>
      <c r="I142" s="83"/>
      <c r="J142" s="83">
        <f>SUM(Table14[[#This Row],[LC Value]:[Amd Value]])</f>
        <v>27101</v>
      </c>
      <c r="K142" s="83">
        <v>3.4</v>
      </c>
      <c r="L142" s="84">
        <v>7750</v>
      </c>
      <c r="M142" s="85" t="s">
        <v>782</v>
      </c>
      <c r="N142" s="85" t="s">
        <v>1272</v>
      </c>
      <c r="O142" s="86" t="str">
        <f>IFERROR(_xlfn.XLOOKUP(C142, Data!$A$2:$A$236, Data!$C$2:$C$236), "")</f>
        <v>MD. Sir</v>
      </c>
    </row>
    <row r="143" spans="1:15" ht="45" x14ac:dyDescent="0.35">
      <c r="A143" s="88">
        <f t="shared" si="0"/>
        <v>79</v>
      </c>
      <c r="B143" s="81" t="s">
        <v>1270</v>
      </c>
      <c r="C143" s="44" t="s">
        <v>200</v>
      </c>
      <c r="D143" s="54" t="s">
        <v>135</v>
      </c>
      <c r="E143" s="50" t="s">
        <v>1271</v>
      </c>
      <c r="F143" s="82" t="s">
        <v>441</v>
      </c>
      <c r="G143" s="89">
        <v>46086</v>
      </c>
      <c r="H143" s="83">
        <v>12950</v>
      </c>
      <c r="I143" s="83"/>
      <c r="J143" s="83">
        <f>SUM(Table14[[#This Row],[LC Value]:[Amd Value]])</f>
        <v>12950</v>
      </c>
      <c r="K143" s="83">
        <v>3.7</v>
      </c>
      <c r="L143" s="84">
        <v>3500</v>
      </c>
      <c r="M143" s="85" t="s">
        <v>782</v>
      </c>
      <c r="N143" s="85" t="s">
        <v>1272</v>
      </c>
      <c r="O143" s="86" t="str">
        <f>IFERROR(_xlfn.XLOOKUP(C143, Data!$A$2:$A$236, Data!$C$2:$C$236), "")</f>
        <v>MD. Sir</v>
      </c>
    </row>
    <row r="144" spans="1:15" ht="45" x14ac:dyDescent="0.35">
      <c r="A144" s="88">
        <f t="shared" si="0"/>
        <v>78</v>
      </c>
      <c r="B144" s="81" t="s">
        <v>1259</v>
      </c>
      <c r="C144" s="44" t="s">
        <v>220</v>
      </c>
      <c r="D144" s="54" t="s">
        <v>135</v>
      </c>
      <c r="E144" s="50" t="s">
        <v>1260</v>
      </c>
      <c r="F144" s="82" t="s">
        <v>360</v>
      </c>
      <c r="G144" s="89">
        <v>46086</v>
      </c>
      <c r="H144" s="83">
        <v>21955</v>
      </c>
      <c r="I144" s="83"/>
      <c r="J144" s="83">
        <f>SUM(Table14[[#This Row],[LC Value]:[Amd Value]])</f>
        <v>21955</v>
      </c>
      <c r="K144" s="83">
        <v>2.9</v>
      </c>
      <c r="L144" s="84">
        <v>7300</v>
      </c>
      <c r="M144" s="85" t="s">
        <v>823</v>
      </c>
      <c r="N144" s="85" t="s">
        <v>843</v>
      </c>
      <c r="O144" s="86" t="str">
        <f>IFERROR(_xlfn.XLOOKUP(C144, Data!$A$2:$A$236, Data!$C$2:$C$236), "")</f>
        <v>Mr. Reza Sir</v>
      </c>
    </row>
    <row r="145" spans="1:15" ht="45" x14ac:dyDescent="0.35">
      <c r="A145" s="88">
        <f t="shared" si="0"/>
        <v>77</v>
      </c>
      <c r="B145" s="81" t="s">
        <v>1257</v>
      </c>
      <c r="C145" s="44" t="s">
        <v>220</v>
      </c>
      <c r="D145" s="54" t="s">
        <v>135</v>
      </c>
      <c r="E145" s="50" t="s">
        <v>1258</v>
      </c>
      <c r="F145" s="82" t="s">
        <v>360</v>
      </c>
      <c r="G145" s="89">
        <v>46084</v>
      </c>
      <c r="H145" s="83">
        <v>41752.5</v>
      </c>
      <c r="I145" s="83"/>
      <c r="J145" s="83">
        <f>SUM(Table14[[#This Row],[LC Value]:[Amd Value]])</f>
        <v>41752.5</v>
      </c>
      <c r="K145" s="83">
        <v>2.85</v>
      </c>
      <c r="L145" s="84">
        <v>14650</v>
      </c>
      <c r="M145" s="85" t="s">
        <v>823</v>
      </c>
      <c r="N145" s="85" t="s">
        <v>843</v>
      </c>
      <c r="O145" s="86" t="str">
        <f>IFERROR(_xlfn.XLOOKUP(C145, Data!$A$2:$A$236, Data!$C$2:$C$236), "")</f>
        <v>Mr. Reza Sir</v>
      </c>
    </row>
    <row r="146" spans="1:15" ht="30" x14ac:dyDescent="0.35">
      <c r="A146" s="88">
        <f t="shared" si="0"/>
        <v>76</v>
      </c>
      <c r="B146" s="81" t="s">
        <v>1239</v>
      </c>
      <c r="C146" s="44" t="s">
        <v>199</v>
      </c>
      <c r="D146" s="54" t="s">
        <v>32</v>
      </c>
      <c r="E146" s="50" t="s">
        <v>1240</v>
      </c>
      <c r="F146" s="82" t="s">
        <v>523</v>
      </c>
      <c r="G146" s="89">
        <v>46084</v>
      </c>
      <c r="H146" s="83">
        <v>71460</v>
      </c>
      <c r="I146" s="83"/>
      <c r="J146" s="83">
        <f>SUM(Table14[[#This Row],[LC Value]:[Amd Value]])</f>
        <v>71460</v>
      </c>
      <c r="K146" s="83">
        <v>2.2999999999999998</v>
      </c>
      <c r="L146" s="84">
        <v>31300</v>
      </c>
      <c r="M146" s="85" t="s">
        <v>843</v>
      </c>
      <c r="N146" s="85" t="s">
        <v>1010</v>
      </c>
      <c r="O146" s="86" t="str">
        <f>IFERROR(_xlfn.XLOOKUP(C146, Data!$A$2:$A$236, Data!$C$2:$C$236), "")</f>
        <v>MD. Sir</v>
      </c>
    </row>
    <row r="147" spans="1:15" ht="45" x14ac:dyDescent="0.35">
      <c r="A147" s="88">
        <f t="shared" si="0"/>
        <v>75</v>
      </c>
      <c r="B147" s="81" t="s">
        <v>1221</v>
      </c>
      <c r="C147" s="44" t="s">
        <v>199</v>
      </c>
      <c r="D147" s="54" t="s">
        <v>353</v>
      </c>
      <c r="E147" s="50" t="s">
        <v>1222</v>
      </c>
      <c r="F147" s="82" t="s">
        <v>523</v>
      </c>
      <c r="G147" s="89">
        <v>46084</v>
      </c>
      <c r="H147" s="83">
        <v>114006</v>
      </c>
      <c r="I147" s="83"/>
      <c r="J147" s="83">
        <f>SUM(Table14[[#This Row],[LC Value]:[Amd Value]])</f>
        <v>114006</v>
      </c>
      <c r="K147" s="83">
        <v>2.98</v>
      </c>
      <c r="L147" s="84">
        <v>44950</v>
      </c>
      <c r="M147" s="85" t="s">
        <v>843</v>
      </c>
      <c r="N147" s="85" t="s">
        <v>1010</v>
      </c>
      <c r="O147" s="86" t="str">
        <f>IFERROR(_xlfn.XLOOKUP(C147, Data!$A$2:$A$236, Data!$C$2:$C$236), "")</f>
        <v>MD. Sir</v>
      </c>
    </row>
    <row r="148" spans="1:15" ht="30" x14ac:dyDescent="0.35">
      <c r="A148" s="88">
        <f t="shared" si="0"/>
        <v>74</v>
      </c>
      <c r="B148" s="81" t="s">
        <v>1210</v>
      </c>
      <c r="C148" s="44" t="s">
        <v>242</v>
      </c>
      <c r="D148" s="54" t="s">
        <v>298</v>
      </c>
      <c r="E148" s="50" t="s">
        <v>1211</v>
      </c>
      <c r="F148" s="82" t="s">
        <v>669</v>
      </c>
      <c r="G148" s="89">
        <v>46084</v>
      </c>
      <c r="H148" s="83">
        <v>17835</v>
      </c>
      <c r="I148" s="83"/>
      <c r="J148" s="83">
        <f>SUM(Table14[[#This Row],[LC Value]:[Amd Value]])</f>
        <v>17835</v>
      </c>
      <c r="K148" s="83">
        <v>2.9</v>
      </c>
      <c r="L148" s="84">
        <v>6150</v>
      </c>
      <c r="M148" s="85" t="s">
        <v>676</v>
      </c>
      <c r="N148" s="85" t="s">
        <v>843</v>
      </c>
      <c r="O148" s="86" t="str">
        <f>IFERROR(_xlfn.XLOOKUP(C148, Data!$A$2:$A$236, Data!$C$2:$C$236), "")</f>
        <v>Mr. Reza Sir</v>
      </c>
    </row>
    <row r="149" spans="1:15" ht="30" x14ac:dyDescent="0.35">
      <c r="A149" s="88">
        <f t="shared" si="0"/>
        <v>73</v>
      </c>
      <c r="B149" s="81" t="s">
        <v>1181</v>
      </c>
      <c r="C149" s="44" t="s">
        <v>199</v>
      </c>
      <c r="D149" s="54" t="s">
        <v>32</v>
      </c>
      <c r="E149" s="50" t="s">
        <v>1182</v>
      </c>
      <c r="F149" s="82" t="s">
        <v>1177</v>
      </c>
      <c r="G149" s="89">
        <v>46083</v>
      </c>
      <c r="H149" s="83">
        <f>17670+12450</f>
        <v>30120</v>
      </c>
      <c r="I149" s="83"/>
      <c r="J149" s="83">
        <f>SUM(Table14[[#This Row],[LC Value]:[Amd Value]])</f>
        <v>30120</v>
      </c>
      <c r="K149" s="83">
        <v>2.4500000000000002</v>
      </c>
      <c r="L149" s="84">
        <v>51700</v>
      </c>
      <c r="M149" s="85" t="s">
        <v>843</v>
      </c>
      <c r="N149" s="85" t="s">
        <v>1178</v>
      </c>
      <c r="O149" s="86" t="str">
        <f>IFERROR(_xlfn.XLOOKUP(C149, Data!$A$2:$A$236, Data!$C$2:$C$236), "")</f>
        <v>MD. Sir</v>
      </c>
    </row>
    <row r="150" spans="1:15" ht="30" x14ac:dyDescent="0.35">
      <c r="A150" s="88">
        <f t="shared" si="0"/>
        <v>72</v>
      </c>
      <c r="B150" s="81" t="s">
        <v>1175</v>
      </c>
      <c r="C150" s="44" t="s">
        <v>199</v>
      </c>
      <c r="D150" s="54" t="s">
        <v>32</v>
      </c>
      <c r="E150" s="50" t="s">
        <v>1176</v>
      </c>
      <c r="F150" s="82" t="s">
        <v>1177</v>
      </c>
      <c r="G150" s="89">
        <v>46083</v>
      </c>
      <c r="H150" s="83">
        <v>125115</v>
      </c>
      <c r="I150" s="83"/>
      <c r="J150" s="83">
        <f>SUM(Table14[[#This Row],[LC Value]:[Amd Value]])</f>
        <v>125115</v>
      </c>
      <c r="K150" s="83">
        <v>2.4500000000000002</v>
      </c>
      <c r="L150" s="84">
        <v>51700</v>
      </c>
      <c r="M150" s="85" t="s">
        <v>843</v>
      </c>
      <c r="N150" s="85" t="s">
        <v>1178</v>
      </c>
      <c r="O150" s="86" t="str">
        <f>IFERROR(_xlfn.XLOOKUP(C150, Data!$A$2:$A$236, Data!$C$2:$C$236), "")</f>
        <v>MD. Sir</v>
      </c>
    </row>
    <row r="151" spans="1:15" ht="30" x14ac:dyDescent="0.35">
      <c r="A151" s="88">
        <f t="shared" si="0"/>
        <v>71</v>
      </c>
      <c r="B151" s="81" t="s">
        <v>1165</v>
      </c>
      <c r="C151" s="44" t="s">
        <v>242</v>
      </c>
      <c r="D151" s="54" t="s">
        <v>298</v>
      </c>
      <c r="E151" s="50" t="s">
        <v>1166</v>
      </c>
      <c r="F151" s="82" t="s">
        <v>345</v>
      </c>
      <c r="G151" s="89">
        <v>46083</v>
      </c>
      <c r="H151" s="83">
        <v>25517.5</v>
      </c>
      <c r="I151" s="83"/>
      <c r="J151" s="83">
        <f>SUM(Table14[[#This Row],[LC Value]:[Amd Value]])</f>
        <v>25517.5</v>
      </c>
      <c r="K151" s="83">
        <v>2.95</v>
      </c>
      <c r="L151" s="84">
        <v>8650</v>
      </c>
      <c r="M151" s="85" t="s">
        <v>823</v>
      </c>
      <c r="N151" s="85" t="s">
        <v>843</v>
      </c>
      <c r="O151" s="86" t="str">
        <f>IFERROR(_xlfn.XLOOKUP(C151, Data!$A$2:$A$236, Data!$C$2:$C$236), "")</f>
        <v>Mr. Reza Sir</v>
      </c>
    </row>
    <row r="152" spans="1:15" ht="30" x14ac:dyDescent="0.35">
      <c r="A152" s="88">
        <f t="shared" si="0"/>
        <v>70</v>
      </c>
      <c r="B152" s="81" t="s">
        <v>1163</v>
      </c>
      <c r="C152" s="44" t="s">
        <v>220</v>
      </c>
      <c r="D152" s="54" t="s">
        <v>79</v>
      </c>
      <c r="E152" s="50" t="s">
        <v>1164</v>
      </c>
      <c r="F152" s="82" t="s">
        <v>345</v>
      </c>
      <c r="G152" s="89">
        <v>46083</v>
      </c>
      <c r="H152" s="83">
        <v>34220</v>
      </c>
      <c r="I152" s="83"/>
      <c r="J152" s="83">
        <f>SUM(Table14[[#This Row],[LC Value]:[Amd Value]])</f>
        <v>34220</v>
      </c>
      <c r="K152" s="83">
        <v>2.9</v>
      </c>
      <c r="L152" s="84">
        <v>11800</v>
      </c>
      <c r="M152" s="85" t="s">
        <v>823</v>
      </c>
      <c r="N152" s="85" t="s">
        <v>843</v>
      </c>
      <c r="O152" s="86" t="str">
        <f>IFERROR(_xlfn.XLOOKUP(C152, Data!$A$2:$A$236, Data!$C$2:$C$236), "")</f>
        <v>Mr. Reza Sir</v>
      </c>
    </row>
    <row r="153" spans="1:15" ht="30" x14ac:dyDescent="0.35">
      <c r="A153" s="88">
        <f t="shared" si="0"/>
        <v>69</v>
      </c>
      <c r="B153" s="81" t="s">
        <v>1144</v>
      </c>
      <c r="C153" s="44" t="s">
        <v>199</v>
      </c>
      <c r="D153" s="54" t="s">
        <v>98</v>
      </c>
      <c r="E153" s="50" t="s">
        <v>1145</v>
      </c>
      <c r="F153" s="82" t="s">
        <v>394</v>
      </c>
      <c r="G153" s="89">
        <v>46077</v>
      </c>
      <c r="H153" s="83">
        <f>22267.5+4440+12840+10200+8520+11040</f>
        <v>69307.5</v>
      </c>
      <c r="I153" s="83"/>
      <c r="J153" s="83">
        <f>SUM(Table14[[#This Row],[LC Value]:[Amd Value]])</f>
        <v>69307.5</v>
      </c>
      <c r="K153" s="83">
        <v>2.35</v>
      </c>
      <c r="L153" s="84">
        <f>9400+1850+5350+4250+3550+4600</f>
        <v>29000</v>
      </c>
      <c r="M153" s="85" t="s">
        <v>843</v>
      </c>
      <c r="N153" s="85" t="s">
        <v>1010</v>
      </c>
      <c r="O153" s="86" t="str">
        <f>IFERROR(_xlfn.XLOOKUP(C153, Data!$A$2:$A$236, Data!$C$2:$C$236), "")</f>
        <v>MD. Sir</v>
      </c>
    </row>
    <row r="154" spans="1:15" ht="30" x14ac:dyDescent="0.35">
      <c r="A154" s="80">
        <f t="shared" si="0"/>
        <v>68</v>
      </c>
      <c r="B154" s="81" t="s">
        <v>1134</v>
      </c>
      <c r="C154" s="44" t="s">
        <v>200</v>
      </c>
      <c r="D154" s="54" t="s">
        <v>79</v>
      </c>
      <c r="E154" s="50" t="s">
        <v>1135</v>
      </c>
      <c r="F154" s="82" t="s">
        <v>472</v>
      </c>
      <c r="G154" s="89">
        <v>46077</v>
      </c>
      <c r="H154" s="83">
        <v>32940</v>
      </c>
      <c r="I154" s="83"/>
      <c r="J154" s="83">
        <f>SUM(Table14[[#This Row],[LC Value]:[Amd Value]])</f>
        <v>32940</v>
      </c>
      <c r="K154" s="83">
        <v>2.7</v>
      </c>
      <c r="L154" s="84">
        <v>12200</v>
      </c>
      <c r="M154" s="85" t="s">
        <v>843</v>
      </c>
      <c r="N154" s="85" t="s">
        <v>1010</v>
      </c>
      <c r="O154" s="86" t="str">
        <f>IFERROR(_xlfn.XLOOKUP(C154, Data!$A$2:$A$236, Data!$C$2:$C$236), "")</f>
        <v>MD. Sir</v>
      </c>
    </row>
    <row r="155" spans="1:15" ht="30" x14ac:dyDescent="0.35">
      <c r="A155" s="80">
        <f t="shared" si="0"/>
        <v>67</v>
      </c>
      <c r="B155" s="81" t="s">
        <v>1123</v>
      </c>
      <c r="C155" s="44" t="s">
        <v>242</v>
      </c>
      <c r="D155" s="54" t="s">
        <v>298</v>
      </c>
      <c r="E155" s="50" t="s">
        <v>1124</v>
      </c>
      <c r="F155" s="82" t="s">
        <v>1102</v>
      </c>
      <c r="G155" s="89">
        <v>46077</v>
      </c>
      <c r="H155" s="83">
        <v>22567.5</v>
      </c>
      <c r="I155" s="83"/>
      <c r="J155" s="83">
        <f>SUM(Table14[[#This Row],[LC Value]:[Amd Value]])</f>
        <v>22567.5</v>
      </c>
      <c r="K155" s="83">
        <v>2.95</v>
      </c>
      <c r="L155" s="84">
        <v>7650</v>
      </c>
      <c r="M155" s="85" t="s">
        <v>843</v>
      </c>
      <c r="N155" s="85" t="s">
        <v>1010</v>
      </c>
      <c r="O155" s="86" t="str">
        <f>IFERROR(_xlfn.XLOOKUP(C155, Data!$A$2:$A$236, Data!$C$2:$C$236), "")</f>
        <v>Mr. Reza Sir</v>
      </c>
    </row>
    <row r="156" spans="1:15" ht="30" x14ac:dyDescent="0.35">
      <c r="A156" s="80">
        <f t="shared" si="0"/>
        <v>66</v>
      </c>
      <c r="B156" s="81" t="s">
        <v>1109</v>
      </c>
      <c r="C156" s="44" t="s">
        <v>220</v>
      </c>
      <c r="D156" s="54" t="s">
        <v>79</v>
      </c>
      <c r="E156" s="50" t="s">
        <v>1110</v>
      </c>
      <c r="F156" s="82" t="s">
        <v>1102</v>
      </c>
      <c r="G156" s="89">
        <v>46072</v>
      </c>
      <c r="H156" s="83">
        <v>18042.5</v>
      </c>
      <c r="I156" s="83"/>
      <c r="J156" s="83">
        <f>SUM(Table14[[#This Row],[LC Value]:[Amd Value]])</f>
        <v>18042.5</v>
      </c>
      <c r="K156" s="83">
        <v>2.8</v>
      </c>
      <c r="L156" s="84">
        <v>6200</v>
      </c>
      <c r="M156" s="85" t="s">
        <v>823</v>
      </c>
      <c r="N156" s="85" t="s">
        <v>843</v>
      </c>
      <c r="O156" s="86" t="str">
        <f>IFERROR(_xlfn.XLOOKUP(C156, Data!$A$2:$A$236, Data!$C$2:$C$236), "")</f>
        <v>Mr. Reza Sir</v>
      </c>
    </row>
    <row r="157" spans="1:15" ht="30" x14ac:dyDescent="0.35">
      <c r="A157" s="80">
        <f t="shared" si="0"/>
        <v>65</v>
      </c>
      <c r="B157" s="81" t="s">
        <v>1107</v>
      </c>
      <c r="C157" s="44" t="s">
        <v>199</v>
      </c>
      <c r="D157" s="54" t="s">
        <v>98</v>
      </c>
      <c r="E157" s="50" t="s">
        <v>1108</v>
      </c>
      <c r="F157" s="82" t="s">
        <v>1102</v>
      </c>
      <c r="G157" s="89">
        <v>46072</v>
      </c>
      <c r="H157" s="83">
        <v>33287.5</v>
      </c>
      <c r="I157" s="83"/>
      <c r="J157" s="83">
        <f>SUM(Table14[[#This Row],[LC Value]:[Amd Value]])</f>
        <v>33287.5</v>
      </c>
      <c r="K157" s="83">
        <v>2.25</v>
      </c>
      <c r="L157" s="84">
        <v>14600</v>
      </c>
      <c r="M157" s="85" t="s">
        <v>823</v>
      </c>
      <c r="N157" s="85" t="s">
        <v>843</v>
      </c>
      <c r="O157" s="86" t="str">
        <f>IFERROR(_xlfn.XLOOKUP(C157, Data!$A$2:$A$236, Data!$C$2:$C$236), "")</f>
        <v>MD. Sir</v>
      </c>
    </row>
    <row r="158" spans="1:15" ht="30" x14ac:dyDescent="0.35">
      <c r="A158" s="80">
        <f t="shared" si="0"/>
        <v>64</v>
      </c>
      <c r="B158" s="81" t="s">
        <v>1105</v>
      </c>
      <c r="C158" s="44" t="s">
        <v>199</v>
      </c>
      <c r="D158" s="54" t="s">
        <v>98</v>
      </c>
      <c r="E158" s="50" t="s">
        <v>1106</v>
      </c>
      <c r="F158" s="82" t="s">
        <v>1102</v>
      </c>
      <c r="G158" s="89">
        <v>46072</v>
      </c>
      <c r="H158" s="83">
        <v>112670</v>
      </c>
      <c r="I158" s="83">
        <v>26680</v>
      </c>
      <c r="J158" s="83">
        <f>SUM(Table14[[#This Row],[LC Value]:[Amd Value]])</f>
        <v>139350</v>
      </c>
      <c r="K158" s="83">
        <v>2.2999999999999998</v>
      </c>
      <c r="L158" s="84">
        <v>48150</v>
      </c>
      <c r="M158" s="85" t="s">
        <v>956</v>
      </c>
      <c r="N158" s="85" t="s">
        <v>955</v>
      </c>
      <c r="O158" s="86" t="str">
        <f>IFERROR(_xlfn.XLOOKUP(C158, Data!$A$2:$A$236, Data!$C$2:$C$236), "")</f>
        <v>MD. Sir</v>
      </c>
    </row>
    <row r="159" spans="1:15" ht="30" x14ac:dyDescent="0.35">
      <c r="A159" s="80">
        <f t="shared" si="0"/>
        <v>63</v>
      </c>
      <c r="B159" s="81" t="s">
        <v>1100</v>
      </c>
      <c r="C159" s="44" t="s">
        <v>199</v>
      </c>
      <c r="D159" s="54" t="s">
        <v>32</v>
      </c>
      <c r="E159" s="50" t="s">
        <v>1101</v>
      </c>
      <c r="F159" s="82" t="s">
        <v>1102</v>
      </c>
      <c r="G159" s="89">
        <v>46072</v>
      </c>
      <c r="H159" s="83">
        <v>17520</v>
      </c>
      <c r="I159" s="83"/>
      <c r="J159" s="83">
        <f>SUM(Table14[[#This Row],[LC Value]:[Amd Value]])</f>
        <v>17520</v>
      </c>
      <c r="K159" s="83">
        <v>2.4</v>
      </c>
      <c r="L159" s="84">
        <v>7300</v>
      </c>
      <c r="M159" s="85" t="s">
        <v>956</v>
      </c>
      <c r="N159" s="85" t="s">
        <v>955</v>
      </c>
      <c r="O159" s="86" t="str">
        <f>IFERROR(_xlfn.XLOOKUP(C159, Data!$A$2:$A$236, Data!$C$2:$C$236), "")</f>
        <v>MD. Sir</v>
      </c>
    </row>
    <row r="160" spans="1:15" ht="30" x14ac:dyDescent="0.35">
      <c r="A160" s="80">
        <f t="shared" si="0"/>
        <v>62</v>
      </c>
      <c r="B160" s="81" t="s">
        <v>1087</v>
      </c>
      <c r="C160" s="44" t="s">
        <v>200</v>
      </c>
      <c r="D160" s="54" t="s">
        <v>98</v>
      </c>
      <c r="E160" s="50" t="s">
        <v>1088</v>
      </c>
      <c r="F160" s="82" t="s">
        <v>350</v>
      </c>
      <c r="G160" s="89">
        <v>46072</v>
      </c>
      <c r="H160" s="83">
        <v>16065</v>
      </c>
      <c r="I160" s="83"/>
      <c r="J160" s="83">
        <f>SUM(Table14[[#This Row],[LC Value]:[Amd Value]])</f>
        <v>16065</v>
      </c>
      <c r="K160" s="83">
        <v>2.7</v>
      </c>
      <c r="L160" s="84">
        <v>5950</v>
      </c>
      <c r="M160" s="85" t="s">
        <v>956</v>
      </c>
      <c r="N160" s="85" t="s">
        <v>955</v>
      </c>
      <c r="O160" s="86" t="str">
        <f>IFERROR(_xlfn.XLOOKUP(C160, Data!$A$2:$A$236, Data!$C$2:$C$236), "")</f>
        <v>MD. Sir</v>
      </c>
    </row>
    <row r="161" spans="1:15" ht="57" x14ac:dyDescent="0.35">
      <c r="A161" s="80">
        <f t="shared" si="0"/>
        <v>61</v>
      </c>
      <c r="B161" s="81" t="s">
        <v>1065</v>
      </c>
      <c r="C161" s="44" t="s">
        <v>200</v>
      </c>
      <c r="D161" s="54" t="s">
        <v>98</v>
      </c>
      <c r="E161" s="50" t="s">
        <v>1066</v>
      </c>
      <c r="F161" s="82">
        <v>46063</v>
      </c>
      <c r="G161" s="89">
        <v>46070</v>
      </c>
      <c r="H161" s="83">
        <f>65637.5+182470+23310+14270</f>
        <v>285687.5</v>
      </c>
      <c r="I161" s="83"/>
      <c r="J161" s="83">
        <f>SUM(Table14[[#This Row],[LC Value]:[Amd Value]])</f>
        <v>285687.5</v>
      </c>
      <c r="K161" s="83">
        <v>2.65</v>
      </c>
      <c r="L161" s="84">
        <v>25350</v>
      </c>
      <c r="M161" s="85" t="s">
        <v>956</v>
      </c>
      <c r="N161" s="85" t="s">
        <v>955</v>
      </c>
      <c r="O161" s="86" t="str">
        <f>IFERROR(_xlfn.XLOOKUP(C161, Data!$A$2:$A$236, Data!$C$2:$C$236), "")</f>
        <v>MD. Sir</v>
      </c>
    </row>
    <row r="162" spans="1:15" ht="42.75" x14ac:dyDescent="0.35">
      <c r="A162" s="80">
        <f t="shared" si="0"/>
        <v>60</v>
      </c>
      <c r="B162" s="81" t="s">
        <v>1063</v>
      </c>
      <c r="C162" s="44" t="s">
        <v>200</v>
      </c>
      <c r="D162" s="54" t="s">
        <v>79</v>
      </c>
      <c r="E162" s="50" t="s">
        <v>1064</v>
      </c>
      <c r="F162" s="82">
        <v>46063</v>
      </c>
      <c r="G162" s="89">
        <v>46072</v>
      </c>
      <c r="H162" s="83">
        <f>73007.5+221160+71225</f>
        <v>365392.5</v>
      </c>
      <c r="I162" s="83"/>
      <c r="J162" s="83">
        <f>SUM(Table14[[#This Row],[LC Value]:[Amd Value]])</f>
        <v>365392.5</v>
      </c>
      <c r="K162" s="83">
        <v>2.65</v>
      </c>
      <c r="L162" s="84">
        <v>25350</v>
      </c>
      <c r="M162" s="85" t="s">
        <v>956</v>
      </c>
      <c r="N162" s="85" t="s">
        <v>955</v>
      </c>
      <c r="O162" s="86" t="str">
        <f>IFERROR(_xlfn.XLOOKUP(C162, Data!$A$2:$A$236, Data!$C$2:$C$236), "")</f>
        <v>MD. Sir</v>
      </c>
    </row>
    <row r="163" spans="1:15" ht="30" x14ac:dyDescent="0.35">
      <c r="A163" s="80">
        <f t="shared" si="0"/>
        <v>59</v>
      </c>
      <c r="B163" s="81" t="s">
        <v>1036</v>
      </c>
      <c r="C163" s="44" t="s">
        <v>200</v>
      </c>
      <c r="D163" s="54" t="s">
        <v>79</v>
      </c>
      <c r="E163" s="50" t="s">
        <v>1037</v>
      </c>
      <c r="F163" s="82">
        <v>46062</v>
      </c>
      <c r="G163" s="89">
        <v>46072</v>
      </c>
      <c r="H163" s="83">
        <v>81135</v>
      </c>
      <c r="I163" s="83"/>
      <c r="J163" s="83">
        <f>SUM(Table14[[#This Row],[LC Value]:[Amd Value]])</f>
        <v>81135</v>
      </c>
      <c r="K163" s="83">
        <v>3.4</v>
      </c>
      <c r="L163" s="84">
        <v>25350</v>
      </c>
      <c r="M163" s="85" t="s">
        <v>843</v>
      </c>
      <c r="N163" s="85" t="s">
        <v>1010</v>
      </c>
      <c r="O163" s="86" t="str">
        <f>IFERROR(_xlfn.XLOOKUP(C163, Data!$A$2:$A$236, Data!$C$2:$C$236), "")</f>
        <v>MD. Sir</v>
      </c>
    </row>
    <row r="164" spans="1:15" ht="30" x14ac:dyDescent="0.35">
      <c r="A164" s="80">
        <f t="shared" si="0"/>
        <v>58</v>
      </c>
      <c r="B164" s="81" t="s">
        <v>1021</v>
      </c>
      <c r="C164" s="44" t="s">
        <v>199</v>
      </c>
      <c r="D164" s="54" t="s">
        <v>32</v>
      </c>
      <c r="E164" s="50" t="s">
        <v>1022</v>
      </c>
      <c r="F164" s="82">
        <v>46061</v>
      </c>
      <c r="G164" s="89">
        <v>46070</v>
      </c>
      <c r="H164" s="83">
        <v>10365</v>
      </c>
      <c r="I164" s="83"/>
      <c r="J164" s="83">
        <f>SUM(Table14[[#This Row],[LC Value]:[Amd Value]])</f>
        <v>10365</v>
      </c>
      <c r="K164" s="83">
        <v>2.8</v>
      </c>
      <c r="L164" s="84">
        <v>3650</v>
      </c>
      <c r="M164" s="85" t="s">
        <v>843</v>
      </c>
      <c r="N164" s="85" t="s">
        <v>1010</v>
      </c>
      <c r="O164" s="86" t="str">
        <f>IFERROR(_xlfn.XLOOKUP(C164, Data!$A$2:$A$236, Data!$C$2:$C$236), "")</f>
        <v>MD. Sir</v>
      </c>
    </row>
    <row r="165" spans="1:15" ht="45" x14ac:dyDescent="0.35">
      <c r="A165" s="80">
        <f t="shared" si="0"/>
        <v>57</v>
      </c>
      <c r="B165" s="81" t="s">
        <v>1017</v>
      </c>
      <c r="C165" s="44" t="s">
        <v>199</v>
      </c>
      <c r="D165" s="54" t="s">
        <v>353</v>
      </c>
      <c r="E165" s="50" t="s">
        <v>1018</v>
      </c>
      <c r="F165" s="82">
        <v>46061</v>
      </c>
      <c r="G165" s="89">
        <v>46070</v>
      </c>
      <c r="H165" s="83">
        <v>49760</v>
      </c>
      <c r="I165" s="83"/>
      <c r="J165" s="83">
        <f>SUM(Table14[[#This Row],[LC Value]:[Amd Value]])</f>
        <v>49760</v>
      </c>
      <c r="K165" s="83">
        <v>3.2</v>
      </c>
      <c r="L165" s="84">
        <v>15550</v>
      </c>
      <c r="M165" s="85" t="s">
        <v>843</v>
      </c>
      <c r="N165" s="85" t="s">
        <v>1010</v>
      </c>
      <c r="O165" s="86" t="str">
        <f>IFERROR(_xlfn.XLOOKUP(C165, Data!$A$2:$A$236, Data!$C$2:$C$236), "")</f>
        <v>MD. Sir</v>
      </c>
    </row>
    <row r="166" spans="1:15" ht="30" x14ac:dyDescent="0.35">
      <c r="A166" s="80">
        <f t="shared" si="0"/>
        <v>56</v>
      </c>
      <c r="B166" s="81" t="s">
        <v>1015</v>
      </c>
      <c r="C166" s="44" t="s">
        <v>199</v>
      </c>
      <c r="D166" s="54" t="s">
        <v>98</v>
      </c>
      <c r="E166" s="50" t="s">
        <v>1016</v>
      </c>
      <c r="F166" s="82">
        <v>46061</v>
      </c>
      <c r="G166" s="89">
        <v>46070</v>
      </c>
      <c r="H166" s="83">
        <v>50065</v>
      </c>
      <c r="I166" s="83"/>
      <c r="J166" s="83">
        <f>SUM(Table14[[#This Row],[LC Value]:[Amd Value]])</f>
        <v>50065</v>
      </c>
      <c r="K166" s="83">
        <v>2.95</v>
      </c>
      <c r="L166" s="84">
        <v>18200</v>
      </c>
      <c r="M166" s="85" t="s">
        <v>843</v>
      </c>
      <c r="N166" s="85" t="s">
        <v>1010</v>
      </c>
      <c r="O166" s="86" t="str">
        <f>IFERROR(_xlfn.XLOOKUP(C166, Data!$A$2:$A$236, Data!$C$2:$C$236), "")</f>
        <v>MD. Sir</v>
      </c>
    </row>
    <row r="167" spans="1:15" ht="45" x14ac:dyDescent="0.35">
      <c r="A167" s="80">
        <f t="shared" si="0"/>
        <v>55</v>
      </c>
      <c r="B167" s="81" t="s">
        <v>1013</v>
      </c>
      <c r="C167" s="44" t="s">
        <v>199</v>
      </c>
      <c r="D167" s="54" t="s">
        <v>353</v>
      </c>
      <c r="E167" s="50" t="s">
        <v>1014</v>
      </c>
      <c r="F167" s="82">
        <v>46061</v>
      </c>
      <c r="G167" s="89">
        <v>46070</v>
      </c>
      <c r="H167" s="83">
        <v>136722.5</v>
      </c>
      <c r="I167" s="83"/>
      <c r="J167" s="83">
        <f>SUM(Table14[[#This Row],[LC Value]:[Amd Value]])</f>
        <v>136722.5</v>
      </c>
      <c r="K167" s="83">
        <v>2.95</v>
      </c>
      <c r="L167" s="84">
        <v>47550</v>
      </c>
      <c r="M167" s="85" t="s">
        <v>843</v>
      </c>
      <c r="N167" s="85" t="s">
        <v>1010</v>
      </c>
      <c r="O167" s="86" t="str">
        <f>IFERROR(_xlfn.XLOOKUP(C167, Data!$A$2:$A$236, Data!$C$2:$C$236), "")</f>
        <v>MD. Sir</v>
      </c>
    </row>
    <row r="168" spans="1:15" ht="30" x14ac:dyDescent="0.35">
      <c r="A168" s="80">
        <f t="shared" si="0"/>
        <v>54</v>
      </c>
      <c r="B168" s="81" t="s">
        <v>1011</v>
      </c>
      <c r="C168" s="44" t="s">
        <v>199</v>
      </c>
      <c r="D168" s="54" t="s">
        <v>98</v>
      </c>
      <c r="E168" s="50" t="s">
        <v>1012</v>
      </c>
      <c r="F168" s="82">
        <v>46061</v>
      </c>
      <c r="G168" s="89">
        <v>46070</v>
      </c>
      <c r="H168" s="83">
        <f>5865+11455+2707.5+3480+9832.5+19237.5+9765+7845+7845+2520+18440+18440+12245</f>
        <v>129677.5</v>
      </c>
      <c r="I168" s="83"/>
      <c r="J168" s="83">
        <f>SUM(Table14[[#This Row],[LC Value]:[Amd Value]])</f>
        <v>129677.5</v>
      </c>
      <c r="K168" s="83">
        <v>2.4</v>
      </c>
      <c r="L168" s="84">
        <f>4440+2250+6450+10450+1350+850+350+750+2600+8550+750</f>
        <v>38790</v>
      </c>
      <c r="M168" s="85" t="s">
        <v>843</v>
      </c>
      <c r="N168" s="85" t="s">
        <v>1010</v>
      </c>
      <c r="O168" s="86" t="str">
        <f>IFERROR(_xlfn.XLOOKUP(C168, Data!$A$2:$A$236, Data!$C$2:$C$236), "")</f>
        <v>MD. Sir</v>
      </c>
    </row>
    <row r="169" spans="1:15" ht="30" x14ac:dyDescent="0.35">
      <c r="A169" s="80">
        <f t="shared" si="0"/>
        <v>53</v>
      </c>
      <c r="B169" s="81" t="s">
        <v>1008</v>
      </c>
      <c r="C169" s="44" t="s">
        <v>199</v>
      </c>
      <c r="D169" s="54" t="s">
        <v>32</v>
      </c>
      <c r="E169" s="50" t="s">
        <v>1009</v>
      </c>
      <c r="F169" s="82">
        <v>46061</v>
      </c>
      <c r="G169" s="89">
        <v>46070</v>
      </c>
      <c r="H169" s="83">
        <f>4440+5400+15480+25080+3762.5+2340+945+2025+5980+20872.5+2212.5</f>
        <v>88537.5</v>
      </c>
      <c r="I169" s="83"/>
      <c r="J169" s="83">
        <f>SUM(Table14[[#This Row],[LC Value]:[Amd Value]])</f>
        <v>88537.5</v>
      </c>
      <c r="K169" s="83">
        <v>2.4</v>
      </c>
      <c r="L169" s="84">
        <f>4440+2250+6450+10450+1350+850+350+750+2600+8550+750</f>
        <v>38790</v>
      </c>
      <c r="M169" s="85" t="s">
        <v>843</v>
      </c>
      <c r="N169" s="85" t="s">
        <v>1010</v>
      </c>
      <c r="O169" s="86" t="str">
        <f>IFERROR(_xlfn.XLOOKUP(C169, Data!$A$2:$A$236, Data!$C$2:$C$236), "")</f>
        <v>MD. Sir</v>
      </c>
    </row>
    <row r="170" spans="1:15" ht="30" x14ac:dyDescent="0.35">
      <c r="A170" s="80">
        <f t="shared" si="0"/>
        <v>52</v>
      </c>
      <c r="B170" s="81" t="s">
        <v>998</v>
      </c>
      <c r="C170" s="44" t="s">
        <v>199</v>
      </c>
      <c r="D170" s="54" t="s">
        <v>98</v>
      </c>
      <c r="E170" s="50" t="s">
        <v>999</v>
      </c>
      <c r="F170" s="82">
        <v>46058</v>
      </c>
      <c r="G170" s="89">
        <v>46070</v>
      </c>
      <c r="H170" s="83">
        <v>26250</v>
      </c>
      <c r="I170" s="83"/>
      <c r="J170" s="83">
        <f>SUM(Table14[[#This Row],[LC Value]:[Amd Value]])</f>
        <v>26250</v>
      </c>
      <c r="K170" s="83">
        <v>2.5</v>
      </c>
      <c r="L170" s="84">
        <v>10500</v>
      </c>
      <c r="M170" s="85" t="s">
        <v>449</v>
      </c>
      <c r="N170" s="85" t="s">
        <v>736</v>
      </c>
      <c r="O170" s="86" t="str">
        <f>IFERROR(_xlfn.XLOOKUP(C170, Data!$A$2:$A$236, Data!$C$2:$C$236), "")</f>
        <v>MD. Sir</v>
      </c>
    </row>
    <row r="171" spans="1:15" ht="30" x14ac:dyDescent="0.35">
      <c r="A171" s="80">
        <f t="shared" si="0"/>
        <v>51</v>
      </c>
      <c r="B171" s="81" t="s">
        <v>996</v>
      </c>
      <c r="C171" s="44" t="s">
        <v>199</v>
      </c>
      <c r="D171" s="54" t="s">
        <v>98</v>
      </c>
      <c r="E171" s="50" t="s">
        <v>997</v>
      </c>
      <c r="F171" s="82">
        <v>46058</v>
      </c>
      <c r="G171" s="89">
        <v>46062</v>
      </c>
      <c r="H171" s="83">
        <v>54315</v>
      </c>
      <c r="I171" s="83"/>
      <c r="J171" s="83">
        <f>SUM(Table14[[#This Row],[LC Value]:[Amd Value]])</f>
        <v>54315</v>
      </c>
      <c r="K171" s="83">
        <v>2.85</v>
      </c>
      <c r="L171" s="84">
        <v>21300</v>
      </c>
      <c r="M171" s="85" t="s">
        <v>417</v>
      </c>
      <c r="N171" s="85" t="s">
        <v>783</v>
      </c>
      <c r="O171" s="86" t="str">
        <f>IFERROR(_xlfn.XLOOKUP(C171, Data!$A$2:$A$236, Data!$C$2:$C$236), "")</f>
        <v>MD. Sir</v>
      </c>
    </row>
    <row r="172" spans="1:15" ht="30" x14ac:dyDescent="0.35">
      <c r="A172" s="80">
        <f t="shared" si="0"/>
        <v>50</v>
      </c>
      <c r="B172" s="81" t="s">
        <v>970</v>
      </c>
      <c r="C172" s="44" t="s">
        <v>200</v>
      </c>
      <c r="D172" s="54" t="s">
        <v>79</v>
      </c>
      <c r="E172" s="50" t="s">
        <v>971</v>
      </c>
      <c r="F172" s="82">
        <v>46056</v>
      </c>
      <c r="G172" s="89">
        <v>46062</v>
      </c>
      <c r="H172" s="83">
        <v>11440</v>
      </c>
      <c r="I172" s="83"/>
      <c r="J172" s="83">
        <f>SUM(Table14[[#This Row],[LC Value]:[Amd Value]])</f>
        <v>11440</v>
      </c>
      <c r="K172" s="83">
        <v>2.6</v>
      </c>
      <c r="L172" s="84">
        <v>4400</v>
      </c>
      <c r="M172" s="85" t="s">
        <v>718</v>
      </c>
      <c r="N172" s="85" t="s">
        <v>782</v>
      </c>
      <c r="O172" s="86" t="str">
        <f>IFERROR(_xlfn.XLOOKUP(C172, Data!$A$2:$A$236, Data!$C$2:$C$236), "")</f>
        <v>MD. Sir</v>
      </c>
    </row>
    <row r="173" spans="1:15" ht="30" x14ac:dyDescent="0.35">
      <c r="A173" s="80">
        <f t="shared" si="0"/>
        <v>49</v>
      </c>
      <c r="B173" s="81" t="s">
        <v>966</v>
      </c>
      <c r="C173" s="44" t="s">
        <v>199</v>
      </c>
      <c r="D173" s="54" t="s">
        <v>32</v>
      </c>
      <c r="E173" s="50" t="s">
        <v>967</v>
      </c>
      <c r="F173" s="82">
        <v>46056</v>
      </c>
      <c r="G173" s="89">
        <v>46062</v>
      </c>
      <c r="H173" s="83">
        <v>42245</v>
      </c>
      <c r="I173" s="83"/>
      <c r="J173" s="83">
        <f>SUM(Table14[[#This Row],[LC Value]:[Amd Value]])</f>
        <v>42245</v>
      </c>
      <c r="K173" s="83">
        <v>3</v>
      </c>
      <c r="L173" s="84">
        <v>14200</v>
      </c>
      <c r="M173" s="85" t="s">
        <v>969</v>
      </c>
      <c r="N173" s="85" t="s">
        <v>968</v>
      </c>
      <c r="O173" s="86" t="str">
        <f>IFERROR(_xlfn.XLOOKUP(C173, Data!$A$2:$A$236, Data!$C$2:$C$236), "")</f>
        <v>MD. Sir</v>
      </c>
    </row>
    <row r="174" spans="1:15" ht="30" x14ac:dyDescent="0.35">
      <c r="A174" s="80">
        <f t="shared" si="0"/>
        <v>48</v>
      </c>
      <c r="B174" s="81" t="s">
        <v>937</v>
      </c>
      <c r="C174" s="44" t="s">
        <v>199</v>
      </c>
      <c r="D174" s="54" t="s">
        <v>32</v>
      </c>
      <c r="E174" s="50" t="s">
        <v>938</v>
      </c>
      <c r="F174" s="89">
        <v>46056</v>
      </c>
      <c r="G174" s="90">
        <v>46055</v>
      </c>
      <c r="H174" s="83">
        <v>13332.5</v>
      </c>
      <c r="I174" s="83"/>
      <c r="J174" s="83">
        <f>SUM(Table14[[#This Row],[LC Value]:[Amd Value]])</f>
        <v>13332.5</v>
      </c>
      <c r="K174" s="83">
        <v>2.85</v>
      </c>
      <c r="L174" s="84">
        <v>4650</v>
      </c>
      <c r="M174" s="85" t="s">
        <v>449</v>
      </c>
      <c r="N174" s="85" t="s">
        <v>936</v>
      </c>
      <c r="O174" s="86" t="str">
        <f>IFERROR(_xlfn.XLOOKUP(C174, Data!$A$2:$A$236, Data!$C$2:$C$236), "")</f>
        <v>MD. Sir</v>
      </c>
    </row>
    <row r="175" spans="1:15" ht="30" x14ac:dyDescent="0.35">
      <c r="A175" s="80">
        <f t="shared" si="0"/>
        <v>47</v>
      </c>
      <c r="B175" s="81" t="s">
        <v>934</v>
      </c>
      <c r="C175" s="44" t="s">
        <v>199</v>
      </c>
      <c r="D175" s="54" t="s">
        <v>98</v>
      </c>
      <c r="E175" s="50" t="s">
        <v>935</v>
      </c>
      <c r="F175" s="89">
        <v>46056</v>
      </c>
      <c r="G175" s="90">
        <v>46055</v>
      </c>
      <c r="H175" s="83">
        <f>2007.5+9240+47600+24720+14840</f>
        <v>98407.5</v>
      </c>
      <c r="I175" s="83"/>
      <c r="J175" s="83">
        <f>SUM(Table14[[#This Row],[LC Value]:[Amd Value]])</f>
        <v>98407.5</v>
      </c>
      <c r="K175" s="83">
        <v>2.9</v>
      </c>
      <c r="L175" s="84">
        <f>700+3300+17000+10300+5600</f>
        <v>36900</v>
      </c>
      <c r="M175" s="85" t="s">
        <v>449</v>
      </c>
      <c r="N175" s="85" t="s">
        <v>936</v>
      </c>
      <c r="O175" s="86" t="str">
        <f>IFERROR(_xlfn.XLOOKUP(C175, Data!$A$2:$A$236, Data!$C$2:$C$236), "")</f>
        <v>MD. Sir</v>
      </c>
    </row>
    <row r="176" spans="1:15" ht="30" x14ac:dyDescent="0.35">
      <c r="A176" s="80">
        <f t="shared" si="0"/>
        <v>46</v>
      </c>
      <c r="B176" s="81" t="s">
        <v>915</v>
      </c>
      <c r="C176" s="44" t="s">
        <v>200</v>
      </c>
      <c r="D176" s="54" t="s">
        <v>79</v>
      </c>
      <c r="E176" s="50" t="s">
        <v>916</v>
      </c>
      <c r="F176" s="89">
        <v>46056</v>
      </c>
      <c r="G176" s="90">
        <v>46053</v>
      </c>
      <c r="H176" s="83">
        <v>10395</v>
      </c>
      <c r="I176" s="83"/>
      <c r="J176" s="83">
        <f>SUM(Table14[[#This Row],[LC Value]:[Amd Value]])</f>
        <v>10395</v>
      </c>
      <c r="K176" s="83">
        <v>2.7</v>
      </c>
      <c r="L176" s="84">
        <v>3850</v>
      </c>
      <c r="M176" s="85" t="s">
        <v>581</v>
      </c>
      <c r="N176" s="85" t="s">
        <v>614</v>
      </c>
      <c r="O176" s="86" t="str">
        <f>IFERROR(_xlfn.XLOOKUP(C176, Data!$A$2:$A$236, Data!$C$2:$C$236), "")</f>
        <v>MD. Sir</v>
      </c>
    </row>
    <row r="177" spans="1:15" ht="30" x14ac:dyDescent="0.35">
      <c r="A177" s="80">
        <f t="shared" si="0"/>
        <v>45</v>
      </c>
      <c r="B177" s="81" t="s">
        <v>903</v>
      </c>
      <c r="C177" s="44" t="s">
        <v>200</v>
      </c>
      <c r="D177" s="54" t="s">
        <v>98</v>
      </c>
      <c r="E177" s="50" t="s">
        <v>904</v>
      </c>
      <c r="F177" s="89">
        <v>46056</v>
      </c>
      <c r="G177" s="90">
        <v>46051</v>
      </c>
      <c r="H177" s="83">
        <v>84370</v>
      </c>
      <c r="I177" s="83"/>
      <c r="J177" s="83">
        <f>SUM(Table14[[#This Row],[LC Value]:[Amd Value]])</f>
        <v>84370</v>
      </c>
      <c r="K177" s="83">
        <v>2.6</v>
      </c>
      <c r="L177" s="84">
        <v>32450</v>
      </c>
      <c r="M177" s="85" t="s">
        <v>886</v>
      </c>
      <c r="N177" s="85" t="s">
        <v>905</v>
      </c>
      <c r="O177" s="86" t="str">
        <f>IFERROR(_xlfn.XLOOKUP(C177, Data!$A$2:$A$236, Data!$C$2:$C$236), "")</f>
        <v>MD. Sir</v>
      </c>
    </row>
    <row r="178" spans="1:15" ht="30" x14ac:dyDescent="0.35">
      <c r="A178" s="80">
        <f t="shared" si="0"/>
        <v>44</v>
      </c>
      <c r="B178" s="81" t="s">
        <v>879</v>
      </c>
      <c r="C178" s="44" t="s">
        <v>199</v>
      </c>
      <c r="D178" s="54" t="s">
        <v>98</v>
      </c>
      <c r="E178" s="50" t="s">
        <v>880</v>
      </c>
      <c r="F178" s="90" t="s">
        <v>665</v>
      </c>
      <c r="G178" s="89">
        <v>46054</v>
      </c>
      <c r="H178" s="83">
        <v>14835</v>
      </c>
      <c r="I178" s="83"/>
      <c r="J178" s="83">
        <f>SUM(Table14[[#This Row],[LC Value]:[Amd Value]])</f>
        <v>14835</v>
      </c>
      <c r="K178" s="83">
        <v>2.2999999999999998</v>
      </c>
      <c r="L178" s="84">
        <v>6450</v>
      </c>
      <c r="M178" s="85" t="s">
        <v>452</v>
      </c>
      <c r="N178" s="85" t="s">
        <v>676</v>
      </c>
      <c r="O178" s="86" t="str">
        <f>IFERROR(_xlfn.XLOOKUP(C178, Data!$A$2:$A$236, Data!$C$2:$C$236), "")</f>
        <v>MD. Sir</v>
      </c>
    </row>
    <row r="179" spans="1:15" ht="30" x14ac:dyDescent="0.35">
      <c r="A179" s="80">
        <f t="shared" si="0"/>
        <v>43</v>
      </c>
      <c r="B179" s="81" t="s">
        <v>874</v>
      </c>
      <c r="C179" s="44" t="s">
        <v>203</v>
      </c>
      <c r="D179" s="54" t="s">
        <v>204</v>
      </c>
      <c r="E179" s="50" t="s">
        <v>875</v>
      </c>
      <c r="F179" s="90" t="s">
        <v>665</v>
      </c>
      <c r="G179" s="89">
        <v>46054</v>
      </c>
      <c r="H179" s="83">
        <v>150000</v>
      </c>
      <c r="I179" s="83">
        <v>97340</v>
      </c>
      <c r="J179" s="83">
        <f>SUM(Table14[[#This Row],[LC Value]:[Amd Value]])</f>
        <v>247340</v>
      </c>
      <c r="K179" s="83">
        <v>3</v>
      </c>
      <c r="L179" s="84">
        <v>50000</v>
      </c>
      <c r="M179" s="85" t="s">
        <v>878</v>
      </c>
      <c r="N179" s="85" t="s">
        <v>877</v>
      </c>
      <c r="O179" s="86" t="str">
        <f>IFERROR(_xlfn.XLOOKUP(C179, Data!$A$2:$A$236, Data!$C$2:$C$236), "")</f>
        <v>MD. Sir</v>
      </c>
    </row>
    <row r="180" spans="1:15" ht="30" x14ac:dyDescent="0.35">
      <c r="A180" s="80">
        <f t="shared" si="0"/>
        <v>42</v>
      </c>
      <c r="B180" s="81" t="s">
        <v>863</v>
      </c>
      <c r="C180" s="44" t="s">
        <v>200</v>
      </c>
      <c r="D180" s="54" t="s">
        <v>98</v>
      </c>
      <c r="E180" s="50" t="s">
        <v>864</v>
      </c>
      <c r="F180" s="90" t="s">
        <v>856</v>
      </c>
      <c r="G180" s="89">
        <v>46054</v>
      </c>
      <c r="H180" s="83">
        <v>20745</v>
      </c>
      <c r="I180" s="83"/>
      <c r="J180" s="83">
        <f>SUM(Table14[[#This Row],[LC Value]:[Amd Value]])</f>
        <v>20745</v>
      </c>
      <c r="K180" s="83">
        <v>2.9</v>
      </c>
      <c r="L180" s="84">
        <v>7650</v>
      </c>
      <c r="M180" s="85" t="s">
        <v>523</v>
      </c>
      <c r="N180" s="85" t="s">
        <v>627</v>
      </c>
      <c r="O180" s="86" t="str">
        <f>IFERROR(_xlfn.XLOOKUP(C180, Data!$A$2:$A$236, Data!$C$2:$C$236), "")</f>
        <v>MD. Sir</v>
      </c>
    </row>
    <row r="181" spans="1:15" ht="30" x14ac:dyDescent="0.35">
      <c r="A181" s="80">
        <f t="shared" si="0"/>
        <v>41</v>
      </c>
      <c r="B181" s="81" t="s">
        <v>861</v>
      </c>
      <c r="C181" s="44" t="s">
        <v>199</v>
      </c>
      <c r="D181" s="54" t="s">
        <v>32</v>
      </c>
      <c r="E181" s="50" t="s">
        <v>862</v>
      </c>
      <c r="F181" s="90" t="s">
        <v>856</v>
      </c>
      <c r="G181" s="89">
        <v>46054</v>
      </c>
      <c r="H181" s="83">
        <v>84890</v>
      </c>
      <c r="I181" s="83">
        <v>13295</v>
      </c>
      <c r="J181" s="83">
        <f>SUM(Table14[[#This Row],[LC Value]:[Amd Value]])</f>
        <v>98185</v>
      </c>
      <c r="K181" s="83">
        <v>2.96</v>
      </c>
      <c r="L181" s="84">
        <v>29550</v>
      </c>
      <c r="M181" s="85" t="s">
        <v>452</v>
      </c>
      <c r="N181" s="85" t="s">
        <v>676</v>
      </c>
      <c r="O181" s="86" t="str">
        <f>IFERROR(_xlfn.XLOOKUP(C181, Data!$A$2:$A$236, Data!$C$2:$C$236), "")</f>
        <v>MD. Sir</v>
      </c>
    </row>
    <row r="182" spans="1:15" ht="45" x14ac:dyDescent="0.35">
      <c r="A182" s="80">
        <f t="shared" si="0"/>
        <v>40</v>
      </c>
      <c r="B182" s="81" t="s">
        <v>844</v>
      </c>
      <c r="C182" s="44" t="s">
        <v>199</v>
      </c>
      <c r="D182" s="54" t="s">
        <v>353</v>
      </c>
      <c r="E182" s="50" t="s">
        <v>845</v>
      </c>
      <c r="F182" s="90" t="s">
        <v>846</v>
      </c>
      <c r="G182" s="89">
        <v>46058</v>
      </c>
      <c r="H182" s="83">
        <f>19687.5+20125+20650</f>
        <v>60462.5</v>
      </c>
      <c r="I182" s="83"/>
      <c r="J182" s="83">
        <f>SUM(Table14[[#This Row],[LC Value]:[Amd Value]])</f>
        <v>60462.5</v>
      </c>
      <c r="K182" s="83">
        <v>2.25</v>
      </c>
      <c r="L182" s="84">
        <f>8750*3</f>
        <v>26250</v>
      </c>
      <c r="M182" s="85" t="s">
        <v>523</v>
      </c>
      <c r="N182" s="85" t="s">
        <v>627</v>
      </c>
      <c r="O182" s="86" t="str">
        <f>IFERROR(_xlfn.XLOOKUP(C182, Data!$A$2:$A$236, Data!$C$2:$C$236), "")</f>
        <v>MD. Sir</v>
      </c>
    </row>
    <row r="183" spans="1:15" ht="30" x14ac:dyDescent="0.35">
      <c r="A183" s="80">
        <f t="shared" si="0"/>
        <v>39</v>
      </c>
      <c r="B183" s="81" t="s">
        <v>833</v>
      </c>
      <c r="C183" s="44" t="s">
        <v>199</v>
      </c>
      <c r="D183" s="54" t="s">
        <v>32</v>
      </c>
      <c r="E183" s="50" t="s">
        <v>834</v>
      </c>
      <c r="F183" s="90" t="s">
        <v>818</v>
      </c>
      <c r="G183" s="89">
        <v>46051</v>
      </c>
      <c r="H183" s="83">
        <v>32385</v>
      </c>
      <c r="I183" s="83"/>
      <c r="J183" s="83">
        <f>SUM(Table14[[#This Row],[LC Value]:[Amd Value]])</f>
        <v>32385</v>
      </c>
      <c r="K183" s="83">
        <v>2.9</v>
      </c>
      <c r="L183" s="84">
        <v>11300</v>
      </c>
      <c r="M183" s="85" t="s">
        <v>836</v>
      </c>
      <c r="N183" s="85" t="s">
        <v>835</v>
      </c>
      <c r="O183" s="86" t="str">
        <f>IFERROR(_xlfn.XLOOKUP(C183, Data!$A$2:$A$236, Data!$C$2:$C$236), "")</f>
        <v>MD. Sir</v>
      </c>
    </row>
    <row r="184" spans="1:15" ht="30" x14ac:dyDescent="0.35">
      <c r="A184" s="91">
        <f t="shared" si="0"/>
        <v>38</v>
      </c>
      <c r="B184" s="81" t="s">
        <v>826</v>
      </c>
      <c r="C184" s="44" t="s">
        <v>199</v>
      </c>
      <c r="D184" s="54" t="s">
        <v>32</v>
      </c>
      <c r="E184" s="50" t="s">
        <v>827</v>
      </c>
      <c r="F184" s="90" t="s">
        <v>818</v>
      </c>
      <c r="G184" s="89">
        <v>46051</v>
      </c>
      <c r="H184" s="83">
        <v>22250</v>
      </c>
      <c r="I184" s="83"/>
      <c r="J184" s="83">
        <f>SUM(Table14[[#This Row],[LC Value]:[Amd Value]])</f>
        <v>22250</v>
      </c>
      <c r="K184" s="83">
        <v>2.2999999999999998</v>
      </c>
      <c r="L184" s="84">
        <v>9800</v>
      </c>
      <c r="M184" s="85" t="s">
        <v>531</v>
      </c>
      <c r="N184" s="85" t="s">
        <v>828</v>
      </c>
      <c r="O184" s="86" t="str">
        <f>IFERROR(_xlfn.XLOOKUP(C184, Data!$A$2:$A$236, Data!$C$2:$C$236), "")</f>
        <v>MD. Sir</v>
      </c>
    </row>
    <row r="185" spans="1:15" ht="57" x14ac:dyDescent="0.35">
      <c r="A185" s="91">
        <f t="shared" si="0"/>
        <v>37</v>
      </c>
      <c r="B185" s="81" t="s">
        <v>824</v>
      </c>
      <c r="C185" s="44" t="s">
        <v>199</v>
      </c>
      <c r="D185" s="54" t="s">
        <v>32</v>
      </c>
      <c r="E185" s="50" t="s">
        <v>825</v>
      </c>
      <c r="F185" s="90" t="s">
        <v>818</v>
      </c>
      <c r="G185" s="89">
        <v>46051</v>
      </c>
      <c r="H185" s="83">
        <f>67505+870+3847.5+34200</f>
        <v>106422.5</v>
      </c>
      <c r="I185" s="83"/>
      <c r="J185" s="83">
        <f>SUM(Table14[[#This Row],[LC Value]:[Amd Value]])</f>
        <v>106422.5</v>
      </c>
      <c r="K185" s="83">
        <v>2.2999999999999998</v>
      </c>
      <c r="L185" s="84">
        <v>10550</v>
      </c>
      <c r="M185" s="85" t="s">
        <v>417</v>
      </c>
      <c r="N185" s="85" t="s">
        <v>783</v>
      </c>
      <c r="O185" s="86" t="str">
        <f>IFERROR(_xlfn.XLOOKUP(C185, Data!$A$2:$A$236, Data!$C$2:$C$236), "")</f>
        <v>MD. Sir</v>
      </c>
    </row>
    <row r="186" spans="1:15" ht="30" x14ac:dyDescent="0.35">
      <c r="A186" s="91">
        <f t="shared" si="0"/>
        <v>36</v>
      </c>
      <c r="B186" s="81" t="s">
        <v>814</v>
      </c>
      <c r="C186" s="44" t="s">
        <v>200</v>
      </c>
      <c r="D186" s="54" t="s">
        <v>98</v>
      </c>
      <c r="E186" s="50" t="s">
        <v>815</v>
      </c>
      <c r="F186" s="90" t="s">
        <v>796</v>
      </c>
      <c r="G186" s="89">
        <v>46051</v>
      </c>
      <c r="H186" s="83">
        <v>28315</v>
      </c>
      <c r="I186" s="83"/>
      <c r="J186" s="83">
        <f>SUM(Table14[[#This Row],[LC Value]:[Amd Value]])</f>
        <v>28315</v>
      </c>
      <c r="K186" s="83">
        <v>2.2999999999999998</v>
      </c>
      <c r="L186" s="84">
        <v>10550</v>
      </c>
      <c r="M186" s="85" t="s">
        <v>417</v>
      </c>
      <c r="N186" s="85" t="s">
        <v>783</v>
      </c>
      <c r="O186" s="86" t="str">
        <f>IFERROR(_xlfn.XLOOKUP(C186, Data!$A$2:$A$236, Data!$C$2:$C$236), "")</f>
        <v>MD. Sir</v>
      </c>
    </row>
    <row r="187" spans="1:15" ht="45" x14ac:dyDescent="0.35">
      <c r="A187" s="91">
        <f t="shared" si="0"/>
        <v>35</v>
      </c>
      <c r="B187" s="81" t="s">
        <v>799</v>
      </c>
      <c r="C187" s="44" t="s">
        <v>199</v>
      </c>
      <c r="D187" s="54" t="s">
        <v>353</v>
      </c>
      <c r="E187" s="50" t="s">
        <v>800</v>
      </c>
      <c r="F187" s="90" t="s">
        <v>796</v>
      </c>
      <c r="G187" s="89">
        <v>46044</v>
      </c>
      <c r="H187" s="83">
        <v>78725</v>
      </c>
      <c r="I187" s="83">
        <v>910</v>
      </c>
      <c r="J187" s="83">
        <f>SUM(Table14[[#This Row],[LC Value]:[Amd Value]])</f>
        <v>79635</v>
      </c>
      <c r="K187" s="83">
        <v>2.35</v>
      </c>
      <c r="L187" s="84">
        <v>33500</v>
      </c>
      <c r="M187" s="85" t="s">
        <v>394</v>
      </c>
      <c r="N187" s="85" t="s">
        <v>531</v>
      </c>
      <c r="O187" s="86" t="str">
        <f>IFERROR(_xlfn.XLOOKUP(C187, Data!$A$2:$A$236, Data!$C$2:$C$236), "")</f>
        <v>MD. Sir</v>
      </c>
    </row>
    <row r="188" spans="1:15" ht="30" x14ac:dyDescent="0.35">
      <c r="A188" s="91">
        <f t="shared" si="0"/>
        <v>34</v>
      </c>
      <c r="B188" s="81" t="s">
        <v>797</v>
      </c>
      <c r="C188" s="44" t="s">
        <v>199</v>
      </c>
      <c r="D188" s="54" t="s">
        <v>32</v>
      </c>
      <c r="E188" s="50" t="s">
        <v>798</v>
      </c>
      <c r="F188" s="90" t="s">
        <v>796</v>
      </c>
      <c r="G188" s="89">
        <v>46044</v>
      </c>
      <c r="H188" s="83">
        <f>4680+6720</f>
        <v>11400</v>
      </c>
      <c r="I188" s="83"/>
      <c r="J188" s="83">
        <f>SUM(Table14[[#This Row],[LC Value]:[Amd Value]])</f>
        <v>11400</v>
      </c>
      <c r="K188" s="83">
        <v>2.7</v>
      </c>
      <c r="L188" s="84">
        <v>2450</v>
      </c>
      <c r="M188" s="85" t="s">
        <v>394</v>
      </c>
      <c r="N188" s="85" t="s">
        <v>531</v>
      </c>
      <c r="O188" s="86" t="str">
        <f>IFERROR(_xlfn.XLOOKUP(C188, Data!$A$2:$A$236, Data!$C$2:$C$236), "")</f>
        <v>MD. Sir</v>
      </c>
    </row>
    <row r="189" spans="1:15" ht="57" x14ac:dyDescent="0.35">
      <c r="A189" s="91">
        <f t="shared" si="0"/>
        <v>33</v>
      </c>
      <c r="B189" s="81" t="s">
        <v>794</v>
      </c>
      <c r="C189" s="44" t="s">
        <v>199</v>
      </c>
      <c r="D189" s="54" t="s">
        <v>98</v>
      </c>
      <c r="E189" s="50" t="s">
        <v>795</v>
      </c>
      <c r="F189" s="90" t="s">
        <v>796</v>
      </c>
      <c r="G189" s="89">
        <v>46051</v>
      </c>
      <c r="H189" s="83">
        <f>55342.5+6342.5+4810+1300</f>
        <v>67795</v>
      </c>
      <c r="I189" s="83"/>
      <c r="J189" s="83">
        <f>SUM(Table14[[#This Row],[LC Value]:[Amd Value]])</f>
        <v>67795</v>
      </c>
      <c r="K189" s="83">
        <v>2.7</v>
      </c>
      <c r="L189" s="84">
        <v>23550</v>
      </c>
      <c r="M189" s="85" t="s">
        <v>394</v>
      </c>
      <c r="N189" s="85" t="s">
        <v>531</v>
      </c>
      <c r="O189" s="86" t="str">
        <f>IFERROR(_xlfn.XLOOKUP(C189, Data!$A$2:$A$236, Data!$C$2:$C$236), "")</f>
        <v>MD. Sir</v>
      </c>
    </row>
    <row r="190" spans="1:15" ht="30" x14ac:dyDescent="0.35">
      <c r="A190" s="92" t="s">
        <v>489</v>
      </c>
      <c r="B190" s="81" t="s">
        <v>764</v>
      </c>
      <c r="C190" s="44" t="s">
        <v>200</v>
      </c>
      <c r="D190" s="54" t="s">
        <v>98</v>
      </c>
      <c r="E190" s="50" t="s">
        <v>765</v>
      </c>
      <c r="F190" s="90" t="s">
        <v>761</v>
      </c>
      <c r="G190" s="89">
        <v>46043</v>
      </c>
      <c r="H190" s="83">
        <v>6615</v>
      </c>
      <c r="I190" s="83"/>
      <c r="J190" s="83">
        <f>SUM(Table14[[#This Row],[LC Value]:[Amd Value]])</f>
        <v>6615</v>
      </c>
      <c r="K190" s="83">
        <v>2.7</v>
      </c>
      <c r="L190" s="84">
        <v>2450</v>
      </c>
      <c r="M190" s="85" t="s">
        <v>394</v>
      </c>
      <c r="N190" s="85" t="s">
        <v>531</v>
      </c>
      <c r="O190" s="86" t="str">
        <f>IFERROR(_xlfn.XLOOKUP(C190, Data!$A$2:$A$236, Data!$C$2:$C$236), "")</f>
        <v>MD. Sir</v>
      </c>
    </row>
    <row r="191" spans="1:15" ht="30" x14ac:dyDescent="0.35">
      <c r="A191" s="93" t="s">
        <v>486</v>
      </c>
      <c r="B191" s="81" t="s">
        <v>751</v>
      </c>
      <c r="C191" s="44" t="s">
        <v>200</v>
      </c>
      <c r="D191" s="54" t="s">
        <v>32</v>
      </c>
      <c r="E191" s="50" t="s">
        <v>752</v>
      </c>
      <c r="F191" s="90" t="s">
        <v>761</v>
      </c>
      <c r="G191" s="89">
        <v>46042</v>
      </c>
      <c r="H191" s="83">
        <v>38115</v>
      </c>
      <c r="I191" s="83"/>
      <c r="J191" s="83">
        <f>SUM(Table14[[#This Row],[LC Value]:[Amd Value]])</f>
        <v>38115</v>
      </c>
      <c r="K191" s="83">
        <v>3.3</v>
      </c>
      <c r="L191" s="84">
        <v>11550</v>
      </c>
      <c r="M191" s="85" t="s">
        <v>577</v>
      </c>
      <c r="N191" s="85" t="s">
        <v>441</v>
      </c>
      <c r="O191" s="86" t="str">
        <f>IFERROR(_xlfn.XLOOKUP(C191, Data!$A$2:$A$236, Data!$C$2:$C$236), "")</f>
        <v>MD. Sir</v>
      </c>
    </row>
    <row r="192" spans="1:15" ht="30" x14ac:dyDescent="0.35">
      <c r="A192" s="93" t="s">
        <v>483</v>
      </c>
      <c r="B192" s="81" t="s">
        <v>749</v>
      </c>
      <c r="C192" s="44" t="s">
        <v>199</v>
      </c>
      <c r="D192" s="54" t="s">
        <v>32</v>
      </c>
      <c r="E192" s="50" t="s">
        <v>750</v>
      </c>
      <c r="F192" s="90" t="s">
        <v>761</v>
      </c>
      <c r="G192" s="89">
        <v>46042</v>
      </c>
      <c r="H192" s="83">
        <v>124085</v>
      </c>
      <c r="I192" s="83"/>
      <c r="J192" s="83">
        <f>SUM(Table14[[#This Row],[LC Value]:[Amd Value]])</f>
        <v>124085</v>
      </c>
      <c r="K192" s="83">
        <v>2.2999999999999998</v>
      </c>
      <c r="L192" s="84">
        <v>53950</v>
      </c>
      <c r="M192" s="85" t="s">
        <v>441</v>
      </c>
      <c r="N192" s="85" t="s">
        <v>452</v>
      </c>
      <c r="O192" s="86" t="str">
        <f>IFERROR(_xlfn.XLOOKUP(C192, Data!$A$2:$A$236, Data!$C$2:$C$236), "")</f>
        <v>MD. Sir</v>
      </c>
    </row>
    <row r="193" spans="1:15" ht="85.5" x14ac:dyDescent="0.35">
      <c r="A193" s="93" t="s">
        <v>479</v>
      </c>
      <c r="B193" s="81" t="s">
        <v>747</v>
      </c>
      <c r="C193" s="44" t="s">
        <v>199</v>
      </c>
      <c r="D193" s="54" t="s">
        <v>32</v>
      </c>
      <c r="E193" s="50" t="s">
        <v>748</v>
      </c>
      <c r="F193" s="90" t="s">
        <v>761</v>
      </c>
      <c r="G193" s="89">
        <v>46042</v>
      </c>
      <c r="H193" s="83">
        <f>1620+5855+5842.5+33060+37555+4750</f>
        <v>88682.5</v>
      </c>
      <c r="I193" s="83"/>
      <c r="J193" s="83">
        <f>SUM(Table14[[#This Row],[LC Value]:[Amd Value]])</f>
        <v>88682.5</v>
      </c>
      <c r="K193" s="83">
        <v>2.7</v>
      </c>
      <c r="L193" s="84">
        <f>600+2000+2050+11400+12950+1900</f>
        <v>30900</v>
      </c>
      <c r="M193" s="85" t="s">
        <v>452</v>
      </c>
      <c r="N193" s="85" t="s">
        <v>676</v>
      </c>
      <c r="O193" s="86" t="str">
        <f>IFERROR(_xlfn.XLOOKUP(C193, Data!$A$2:$A$236, Data!$C$2:$C$236), "")</f>
        <v>MD. Sir</v>
      </c>
    </row>
    <row r="194" spans="1:15" ht="57" x14ac:dyDescent="0.35">
      <c r="A194" s="93" t="s">
        <v>476</v>
      </c>
      <c r="B194" s="81" t="s">
        <v>697</v>
      </c>
      <c r="C194" s="44" t="s">
        <v>199</v>
      </c>
      <c r="D194" s="54" t="s">
        <v>353</v>
      </c>
      <c r="E194" s="50" t="s">
        <v>698</v>
      </c>
      <c r="F194" s="90" t="s">
        <v>690</v>
      </c>
      <c r="G194" s="89">
        <v>46042</v>
      </c>
      <c r="H194" s="83">
        <f>4560+4800+2280+2895</f>
        <v>14535</v>
      </c>
      <c r="I194" s="83"/>
      <c r="J194" s="83">
        <f>SUM(Table14[[#This Row],[LC Value]:[Amd Value]])</f>
        <v>14535</v>
      </c>
      <c r="K194" s="83">
        <v>2.4</v>
      </c>
      <c r="L194" s="84">
        <f>1900+1600+800+950</f>
        <v>5250</v>
      </c>
      <c r="M194" s="85" t="s">
        <v>452</v>
      </c>
      <c r="N194" s="85" t="s">
        <v>676</v>
      </c>
      <c r="O194" s="86" t="str">
        <f>IFERROR(_xlfn.XLOOKUP(C194, Data!$A$2:$A$236, Data!$C$2:$C$236), "")</f>
        <v>MD. Sir</v>
      </c>
    </row>
    <row r="195" spans="1:15" ht="45" x14ac:dyDescent="0.35">
      <c r="A195" s="93" t="s">
        <v>473</v>
      </c>
      <c r="B195" s="81" t="s">
        <v>695</v>
      </c>
      <c r="C195" s="44" t="s">
        <v>199</v>
      </c>
      <c r="D195" s="54" t="s">
        <v>353</v>
      </c>
      <c r="E195" s="50" t="s">
        <v>696</v>
      </c>
      <c r="F195" s="90" t="s">
        <v>690</v>
      </c>
      <c r="G195" s="89">
        <v>46041</v>
      </c>
      <c r="H195" s="83">
        <v>100270</v>
      </c>
      <c r="I195" s="83"/>
      <c r="J195" s="83">
        <f>SUM(Table14[[#This Row],[LC Value]:[Amd Value]])</f>
        <v>100270</v>
      </c>
      <c r="K195" s="83">
        <v>2.9</v>
      </c>
      <c r="L195" s="84">
        <v>36900</v>
      </c>
      <c r="M195" s="85" t="s">
        <v>523</v>
      </c>
      <c r="N195" s="85" t="s">
        <v>627</v>
      </c>
      <c r="O195" s="86" t="str">
        <f>IFERROR(_xlfn.XLOOKUP(C195, Data!$A$2:$A$236, Data!$C$2:$C$236), "")</f>
        <v>MD. Sir</v>
      </c>
    </row>
    <row r="196" spans="1:15" ht="45" x14ac:dyDescent="0.35">
      <c r="A196" s="93" t="s">
        <v>467</v>
      </c>
      <c r="B196" s="81" t="s">
        <v>686</v>
      </c>
      <c r="C196" s="44" t="s">
        <v>200</v>
      </c>
      <c r="D196" s="54" t="s">
        <v>36</v>
      </c>
      <c r="E196" s="50" t="s">
        <v>687</v>
      </c>
      <c r="F196" s="90" t="s">
        <v>690</v>
      </c>
      <c r="G196" s="89">
        <v>46043</v>
      </c>
      <c r="H196" s="83">
        <v>39230</v>
      </c>
      <c r="I196" s="83"/>
      <c r="J196" s="83">
        <f>SUM(Table14[[#This Row],[LC Value]:[Amd Value]])</f>
        <v>39230</v>
      </c>
      <c r="K196" s="83">
        <v>2.9</v>
      </c>
      <c r="L196" s="84">
        <v>13400</v>
      </c>
      <c r="M196" s="85" t="s">
        <v>591</v>
      </c>
      <c r="N196" s="85" t="s">
        <v>577</v>
      </c>
      <c r="O196" s="86" t="str">
        <f>IFERROR(_xlfn.XLOOKUP(C196, Data!$A$2:$A$236, Data!$C$2:$C$236), "")</f>
        <v>MD. Sir</v>
      </c>
    </row>
    <row r="197" spans="1:15" ht="30" x14ac:dyDescent="0.35">
      <c r="A197" s="94" t="s">
        <v>464</v>
      </c>
      <c r="B197" s="81" t="s">
        <v>682</v>
      </c>
      <c r="C197" s="44" t="s">
        <v>199</v>
      </c>
      <c r="D197" s="54" t="s">
        <v>98</v>
      </c>
      <c r="E197" s="50" t="s">
        <v>683</v>
      </c>
      <c r="F197" s="90" t="s">
        <v>661</v>
      </c>
      <c r="G197" s="89">
        <v>46039</v>
      </c>
      <c r="H197" s="83">
        <v>56355</v>
      </c>
      <c r="I197" s="83"/>
      <c r="J197" s="83">
        <f>SUM(Table14[[#This Row],[LC Value]:[Amd Value]])</f>
        <v>56355</v>
      </c>
      <c r="K197" s="83">
        <v>3.4</v>
      </c>
      <c r="L197" s="84">
        <v>20100</v>
      </c>
      <c r="M197" s="85" t="s">
        <v>357</v>
      </c>
      <c r="N197" s="85" t="s">
        <v>356</v>
      </c>
      <c r="O197" s="86" t="str">
        <f>IFERROR(_xlfn.XLOOKUP(C197, Data!$A$2:$A$236, Data!$C$2:$C$236), "")</f>
        <v>MD. Sir</v>
      </c>
    </row>
    <row r="198" spans="1:15" ht="42.75" x14ac:dyDescent="0.35">
      <c r="A198" s="95" t="s">
        <v>460</v>
      </c>
      <c r="B198" s="81" t="s">
        <v>680</v>
      </c>
      <c r="C198" s="44" t="s">
        <v>199</v>
      </c>
      <c r="D198" s="54" t="s">
        <v>32</v>
      </c>
      <c r="E198" s="50" t="s">
        <v>681</v>
      </c>
      <c r="F198" s="90" t="s">
        <v>661</v>
      </c>
      <c r="G198" s="89">
        <v>46042</v>
      </c>
      <c r="H198" s="83">
        <f>3910+2300+145350</f>
        <v>151560</v>
      </c>
      <c r="I198" s="83"/>
      <c r="J198" s="83">
        <f>SUM(Table14[[#This Row],[LC Value]:[Amd Value]])</f>
        <v>151560</v>
      </c>
      <c r="K198" s="83">
        <v>2.2999999999999998</v>
      </c>
      <c r="L198" s="84">
        <f>1700+1000+51000</f>
        <v>53700</v>
      </c>
      <c r="M198" s="85" t="s">
        <v>452</v>
      </c>
      <c r="N198" s="85" t="s">
        <v>676</v>
      </c>
      <c r="O198" s="86" t="str">
        <f>IFERROR(_xlfn.XLOOKUP(C198, Data!$A$2:$A$236, Data!$C$2:$C$236), "")</f>
        <v>MD. Sir</v>
      </c>
    </row>
    <row r="199" spans="1:15" ht="30" x14ac:dyDescent="0.35">
      <c r="A199" s="95" t="s">
        <v>454</v>
      </c>
      <c r="B199" s="81" t="s">
        <v>630</v>
      </c>
      <c r="C199" s="44" t="s">
        <v>199</v>
      </c>
      <c r="D199" s="54" t="s">
        <v>98</v>
      </c>
      <c r="E199" s="50" t="s">
        <v>631</v>
      </c>
      <c r="F199" s="90" t="s">
        <v>653</v>
      </c>
      <c r="G199" s="89">
        <v>46042</v>
      </c>
      <c r="H199" s="83">
        <v>119850</v>
      </c>
      <c r="I199" s="83"/>
      <c r="J199" s="83">
        <f>SUM(Table14[[#This Row],[LC Value]:[Amd Value]])</f>
        <v>119850</v>
      </c>
      <c r="K199" s="83">
        <v>3</v>
      </c>
      <c r="L199" s="84">
        <v>42500</v>
      </c>
      <c r="M199" s="85" t="s">
        <v>523</v>
      </c>
      <c r="N199" s="85" t="s">
        <v>627</v>
      </c>
      <c r="O199" s="86" t="str">
        <f>IFERROR(_xlfn.XLOOKUP(C199, Data!$A$2:$A$236, Data!$C$2:$C$236), "")</f>
        <v>MD. Sir</v>
      </c>
    </row>
    <row r="200" spans="1:15" ht="45" x14ac:dyDescent="0.35">
      <c r="A200" s="95" t="s">
        <v>450</v>
      </c>
      <c r="B200" s="81" t="s">
        <v>628</v>
      </c>
      <c r="C200" s="44" t="s">
        <v>200</v>
      </c>
      <c r="D200" s="54" t="s">
        <v>135</v>
      </c>
      <c r="E200" s="50" t="s">
        <v>629</v>
      </c>
      <c r="F200" s="90" t="s">
        <v>653</v>
      </c>
      <c r="G200" s="89">
        <v>46042</v>
      </c>
      <c r="H200" s="83">
        <v>82215</v>
      </c>
      <c r="I200" s="83"/>
      <c r="J200" s="83">
        <f>SUM(Table14[[#This Row],[LC Value]:[Amd Value]])</f>
        <v>82215</v>
      </c>
      <c r="K200" s="83">
        <v>2.7</v>
      </c>
      <c r="L200" s="84">
        <v>30450</v>
      </c>
      <c r="M200" s="85" t="s">
        <v>523</v>
      </c>
      <c r="N200" s="85" t="s">
        <v>627</v>
      </c>
      <c r="O200" s="86" t="str">
        <f>IFERROR(_xlfn.XLOOKUP(C200, Data!$A$2:$A$236, Data!$C$2:$C$236), "")</f>
        <v>MD. Sir</v>
      </c>
    </row>
    <row r="201" spans="1:15" ht="45" x14ac:dyDescent="0.35">
      <c r="A201" s="95" t="s">
        <v>445</v>
      </c>
      <c r="B201" s="81" t="s">
        <v>625</v>
      </c>
      <c r="C201" s="44" t="s">
        <v>200</v>
      </c>
      <c r="D201" s="54" t="s">
        <v>135</v>
      </c>
      <c r="E201" s="50" t="s">
        <v>626</v>
      </c>
      <c r="F201" s="90" t="s">
        <v>653</v>
      </c>
      <c r="G201" s="89">
        <v>46042</v>
      </c>
      <c r="H201" s="83">
        <v>8760</v>
      </c>
      <c r="I201" s="83"/>
      <c r="J201" s="83">
        <f>SUM(Table14[[#This Row],[LC Value]:[Amd Value]])</f>
        <v>8760</v>
      </c>
      <c r="K201" s="83">
        <v>2.4</v>
      </c>
      <c r="L201" s="84">
        <v>3650</v>
      </c>
      <c r="M201" s="85" t="s">
        <v>523</v>
      </c>
      <c r="N201" s="85" t="s">
        <v>627</v>
      </c>
      <c r="O201" s="86" t="str">
        <f>IFERROR(_xlfn.XLOOKUP(C201, Data!$A$2:$A$236, Data!$C$2:$C$236), "")</f>
        <v>MD. Sir</v>
      </c>
    </row>
    <row r="202" spans="1:15" ht="45" x14ac:dyDescent="0.35">
      <c r="A202" s="95" t="s">
        <v>442</v>
      </c>
      <c r="B202" s="81" t="s">
        <v>603</v>
      </c>
      <c r="C202" s="44" t="s">
        <v>595</v>
      </c>
      <c r="D202" s="54" t="s">
        <v>596</v>
      </c>
      <c r="E202" s="50" t="s">
        <v>604</v>
      </c>
      <c r="F202" s="90" t="s">
        <v>594</v>
      </c>
      <c r="G202" s="89">
        <v>46036</v>
      </c>
      <c r="H202" s="83">
        <v>41250</v>
      </c>
      <c r="I202" s="83"/>
      <c r="J202" s="83">
        <f>SUM(Table14[[#This Row],[LC Value]:[Amd Value]])</f>
        <v>41250</v>
      </c>
      <c r="K202" s="83">
        <v>2.75</v>
      </c>
      <c r="L202" s="84">
        <v>15000</v>
      </c>
      <c r="M202" s="85" t="s">
        <v>600</v>
      </c>
      <c r="N202" s="85" t="s">
        <v>360</v>
      </c>
      <c r="O202" s="86" t="str">
        <f>IFERROR(_xlfn.XLOOKUP(C202, Data!$A$2:$A$236, Data!$C$2:$C$236), "")</f>
        <v>MD. Sir</v>
      </c>
    </row>
    <row r="203" spans="1:15" ht="45" x14ac:dyDescent="0.35">
      <c r="A203" s="95" t="s">
        <v>435</v>
      </c>
      <c r="B203" s="81" t="s">
        <v>601</v>
      </c>
      <c r="C203" s="44" t="s">
        <v>595</v>
      </c>
      <c r="D203" s="54" t="s">
        <v>596</v>
      </c>
      <c r="E203" s="50" t="s">
        <v>602</v>
      </c>
      <c r="F203" s="90" t="s">
        <v>594</v>
      </c>
      <c r="G203" s="89">
        <v>46036</v>
      </c>
      <c r="H203" s="83">
        <v>41250</v>
      </c>
      <c r="I203" s="83"/>
      <c r="J203" s="83">
        <f>SUM(Table14[[#This Row],[LC Value]:[Amd Value]])</f>
        <v>41250</v>
      </c>
      <c r="K203" s="83">
        <v>2.75</v>
      </c>
      <c r="L203" s="84">
        <v>15000</v>
      </c>
      <c r="M203" s="85" t="s">
        <v>600</v>
      </c>
      <c r="N203" s="85" t="s">
        <v>360</v>
      </c>
      <c r="O203" s="86" t="str">
        <f>IFERROR(_xlfn.XLOOKUP(C203, Data!$A$2:$A$236, Data!$C$2:$C$236), "")</f>
        <v>MD. Sir</v>
      </c>
    </row>
    <row r="204" spans="1:15" ht="45" x14ac:dyDescent="0.35">
      <c r="A204" s="95" t="s">
        <v>432</v>
      </c>
      <c r="B204" s="81" t="s">
        <v>598</v>
      </c>
      <c r="C204" s="44" t="s">
        <v>595</v>
      </c>
      <c r="D204" s="54" t="s">
        <v>596</v>
      </c>
      <c r="E204" s="50" t="s">
        <v>599</v>
      </c>
      <c r="F204" s="90" t="s">
        <v>594</v>
      </c>
      <c r="G204" s="89">
        <v>46036</v>
      </c>
      <c r="H204" s="83">
        <v>37675</v>
      </c>
      <c r="I204" s="83"/>
      <c r="J204" s="83">
        <f>SUM(Table14[[#This Row],[LC Value]:[Amd Value]])</f>
        <v>37675</v>
      </c>
      <c r="K204" s="83">
        <v>2.75</v>
      </c>
      <c r="L204" s="84">
        <v>13700</v>
      </c>
      <c r="M204" s="85" t="s">
        <v>600</v>
      </c>
      <c r="N204" s="85" t="s">
        <v>360</v>
      </c>
      <c r="O204" s="86" t="str">
        <f>IFERROR(_xlfn.XLOOKUP(C204, Data!$A$2:$A$236, Data!$C$2:$C$236), "")</f>
        <v>MD. Sir</v>
      </c>
    </row>
    <row r="205" spans="1:15" ht="45" x14ac:dyDescent="0.35">
      <c r="A205" s="95" t="s">
        <v>429</v>
      </c>
      <c r="B205" s="81" t="s">
        <v>589</v>
      </c>
      <c r="C205" s="44" t="s">
        <v>199</v>
      </c>
      <c r="D205" s="54" t="s">
        <v>353</v>
      </c>
      <c r="E205" s="50" t="s">
        <v>590</v>
      </c>
      <c r="F205" s="90" t="s">
        <v>594</v>
      </c>
      <c r="G205" s="89">
        <v>46036</v>
      </c>
      <c r="H205" s="83">
        <v>7375</v>
      </c>
      <c r="I205" s="83"/>
      <c r="J205" s="83">
        <f>SUM(Table14[[#This Row],[LC Value]:[Amd Value]])</f>
        <v>7375</v>
      </c>
      <c r="K205" s="83">
        <v>2.95</v>
      </c>
      <c r="L205" s="84">
        <v>2500</v>
      </c>
      <c r="M205" s="85" t="s">
        <v>591</v>
      </c>
      <c r="N205" s="85" t="s">
        <v>577</v>
      </c>
      <c r="O205" s="86" t="str">
        <f>IFERROR(_xlfn.XLOOKUP(C205, Data!$A$2:$A$236, Data!$C$2:$C$236), "")</f>
        <v>MD. Sir</v>
      </c>
    </row>
    <row r="206" spans="1:15" ht="30" x14ac:dyDescent="0.35">
      <c r="A206" s="95" t="s">
        <v>426</v>
      </c>
      <c r="B206" s="81" t="s">
        <v>569</v>
      </c>
      <c r="C206" s="44" t="s">
        <v>199</v>
      </c>
      <c r="D206" s="54" t="s">
        <v>98</v>
      </c>
      <c r="E206" s="50" t="s">
        <v>570</v>
      </c>
      <c r="F206" s="90" t="s">
        <v>561</v>
      </c>
      <c r="G206" s="89">
        <v>46036</v>
      </c>
      <c r="H206" s="83">
        <v>11065</v>
      </c>
      <c r="I206" s="83"/>
      <c r="J206" s="83">
        <f>SUM(Table14[[#This Row],[LC Value]:[Amd Value]])</f>
        <v>11065</v>
      </c>
      <c r="K206" s="83">
        <v>2.9</v>
      </c>
      <c r="L206" s="84">
        <v>4100</v>
      </c>
      <c r="M206" s="85" t="s">
        <v>562</v>
      </c>
      <c r="N206" s="85" t="s">
        <v>350</v>
      </c>
      <c r="O206" s="86" t="str">
        <f>IFERROR(_xlfn.XLOOKUP(C206, Data!$A$2:$A$236, Data!$C$2:$C$236), "")</f>
        <v>MD. Sir</v>
      </c>
    </row>
    <row r="207" spans="1:15" ht="30" x14ac:dyDescent="0.35">
      <c r="A207" s="94" t="s">
        <v>418</v>
      </c>
      <c r="B207" s="81" t="s">
        <v>567</v>
      </c>
      <c r="C207" s="44" t="s">
        <v>199</v>
      </c>
      <c r="D207" s="54" t="s">
        <v>32</v>
      </c>
      <c r="E207" s="50" t="s">
        <v>568</v>
      </c>
      <c r="F207" s="90" t="s">
        <v>561</v>
      </c>
      <c r="G207" s="89">
        <v>46036</v>
      </c>
      <c r="H207" s="83">
        <v>86565</v>
      </c>
      <c r="I207" s="83"/>
      <c r="J207" s="83">
        <f>SUM(Table14[[#This Row],[LC Value]:[Amd Value]])</f>
        <v>86565</v>
      </c>
      <c r="K207" s="83">
        <v>2.9</v>
      </c>
      <c r="L207" s="84">
        <v>35000</v>
      </c>
      <c r="M207" s="85" t="s">
        <v>562</v>
      </c>
      <c r="N207" s="85" t="s">
        <v>350</v>
      </c>
      <c r="O207" s="86" t="str">
        <f>IFERROR(_xlfn.XLOOKUP(C207, Data!$A$2:$A$236, Data!$C$2:$C$236), "")</f>
        <v>MD. Sir</v>
      </c>
    </row>
    <row r="208" spans="1:15" ht="30" x14ac:dyDescent="0.35">
      <c r="A208" s="95" t="s">
        <v>409</v>
      </c>
      <c r="B208" s="81" t="s">
        <v>565</v>
      </c>
      <c r="C208" s="44" t="s">
        <v>199</v>
      </c>
      <c r="D208" s="54" t="s">
        <v>32</v>
      </c>
      <c r="E208" s="50" t="s">
        <v>566</v>
      </c>
      <c r="F208" s="90" t="s">
        <v>561</v>
      </c>
      <c r="G208" s="89">
        <v>46036</v>
      </c>
      <c r="H208" s="83">
        <v>100245</v>
      </c>
      <c r="I208" s="83"/>
      <c r="J208" s="83">
        <f>SUM(Table14[[#This Row],[LC Value]:[Amd Value]])</f>
        <v>100245</v>
      </c>
      <c r="K208" s="83">
        <v>2.9</v>
      </c>
      <c r="L208" s="84">
        <v>32550</v>
      </c>
      <c r="M208" s="85" t="s">
        <v>562</v>
      </c>
      <c r="N208" s="85" t="s">
        <v>350</v>
      </c>
      <c r="O208" s="86" t="str">
        <f>IFERROR(_xlfn.XLOOKUP(C208, Data!$A$2:$A$236, Data!$C$2:$C$236), "")</f>
        <v>MD. Sir</v>
      </c>
    </row>
    <row r="209" spans="1:15" ht="45" x14ac:dyDescent="0.35">
      <c r="A209" s="95" t="s">
        <v>406</v>
      </c>
      <c r="B209" s="81" t="s">
        <v>563</v>
      </c>
      <c r="C209" s="44" t="s">
        <v>199</v>
      </c>
      <c r="D209" s="54" t="s">
        <v>353</v>
      </c>
      <c r="E209" s="50" t="s">
        <v>564</v>
      </c>
      <c r="F209" s="90" t="s">
        <v>561</v>
      </c>
      <c r="G209" s="89">
        <v>46036</v>
      </c>
      <c r="H209" s="83">
        <v>34600</v>
      </c>
      <c r="I209" s="83"/>
      <c r="J209" s="83">
        <f>SUM(Table14[[#This Row],[LC Value]:[Amd Value]])</f>
        <v>34600</v>
      </c>
      <c r="K209" s="83">
        <v>2.9</v>
      </c>
      <c r="L209" s="84">
        <v>14750</v>
      </c>
      <c r="M209" s="85" t="s">
        <v>562</v>
      </c>
      <c r="N209" s="85" t="s">
        <v>350</v>
      </c>
      <c r="O209" s="86" t="str">
        <f>IFERROR(_xlfn.XLOOKUP(C209, Data!$A$2:$A$236, Data!$C$2:$C$236), "")</f>
        <v>MD. Sir</v>
      </c>
    </row>
    <row r="210" spans="1:15" ht="30" x14ac:dyDescent="0.35">
      <c r="A210" s="95" t="s">
        <v>389</v>
      </c>
      <c r="B210" s="81" t="s">
        <v>559</v>
      </c>
      <c r="C210" s="44" t="s">
        <v>200</v>
      </c>
      <c r="D210" s="54" t="s">
        <v>98</v>
      </c>
      <c r="E210" s="50" t="s">
        <v>560</v>
      </c>
      <c r="F210" s="90" t="s">
        <v>561</v>
      </c>
      <c r="G210" s="89">
        <v>46036</v>
      </c>
      <c r="H210" s="83">
        <v>12002.5</v>
      </c>
      <c r="I210" s="83"/>
      <c r="J210" s="83">
        <f>SUM(Table14[[#This Row],[LC Value]:[Amd Value]])</f>
        <v>12002.5</v>
      </c>
      <c r="K210" s="83">
        <v>2.9</v>
      </c>
      <c r="L210" s="84">
        <v>4100</v>
      </c>
      <c r="M210" s="85" t="s">
        <v>562</v>
      </c>
      <c r="N210" s="85" t="s">
        <v>350</v>
      </c>
      <c r="O210" s="86" t="str">
        <f>IFERROR(_xlfn.XLOOKUP(C210, Data!$A$2:$A$236, Data!$C$2:$C$236), "")</f>
        <v>MD. Sir</v>
      </c>
    </row>
    <row r="211" spans="1:15" ht="57" x14ac:dyDescent="0.35">
      <c r="A211" s="95" t="s">
        <v>386</v>
      </c>
      <c r="B211" s="81" t="s">
        <v>526</v>
      </c>
      <c r="C211" s="44" t="s">
        <v>199</v>
      </c>
      <c r="D211" s="54" t="s">
        <v>32</v>
      </c>
      <c r="E211" s="50" t="s">
        <v>527</v>
      </c>
      <c r="F211" s="90" t="s">
        <v>522</v>
      </c>
      <c r="G211" s="89">
        <v>46036</v>
      </c>
      <c r="H211" s="83">
        <f>9545+39720+22800+51610</f>
        <v>123675</v>
      </c>
      <c r="I211" s="83"/>
      <c r="J211" s="83">
        <f>SUM(Table14[[#This Row],[LC Value]:[Amd Value]])</f>
        <v>123675</v>
      </c>
      <c r="K211" s="83">
        <v>2.8</v>
      </c>
      <c r="L211" s="84">
        <v>13850</v>
      </c>
      <c r="M211" s="85" t="s">
        <v>441</v>
      </c>
      <c r="N211" s="85" t="s">
        <v>440</v>
      </c>
      <c r="O211" s="86" t="str">
        <f>IFERROR(_xlfn.XLOOKUP(C211, Data!$A$2:$A$236, Data!$C$2:$C$236), "")</f>
        <v>MD. Sir</v>
      </c>
    </row>
    <row r="212" spans="1:15" ht="42.75" x14ac:dyDescent="0.35">
      <c r="A212" s="95" t="s">
        <v>383</v>
      </c>
      <c r="B212" s="81" t="s">
        <v>524</v>
      </c>
      <c r="C212" s="44" t="s">
        <v>199</v>
      </c>
      <c r="D212" s="54" t="s">
        <v>98</v>
      </c>
      <c r="E212" s="50" t="s">
        <v>525</v>
      </c>
      <c r="F212" s="90" t="s">
        <v>522</v>
      </c>
      <c r="G212" s="89">
        <v>46036</v>
      </c>
      <c r="H212" s="83">
        <f>60385+10800+3780</f>
        <v>74965</v>
      </c>
      <c r="I212" s="83"/>
      <c r="J212" s="83">
        <f>SUM(Table14[[#This Row],[LC Value]:[Amd Value]])</f>
        <v>74965</v>
      </c>
      <c r="K212" s="83">
        <v>2.8</v>
      </c>
      <c r="L212" s="84">
        <v>13850</v>
      </c>
      <c r="M212" s="85" t="s">
        <v>441</v>
      </c>
      <c r="N212" s="85" t="s">
        <v>440</v>
      </c>
      <c r="O212" s="86" t="str">
        <f>IFERROR(_xlfn.XLOOKUP(C212, Data!$A$2:$A$236, Data!$C$2:$C$236), "")</f>
        <v>MD. Sir</v>
      </c>
    </row>
    <row r="213" spans="1:15" ht="30" x14ac:dyDescent="0.35">
      <c r="A213" s="95" t="s">
        <v>380</v>
      </c>
      <c r="B213" s="81" t="s">
        <v>510</v>
      </c>
      <c r="C213" s="44" t="s">
        <v>200</v>
      </c>
      <c r="D213" s="54" t="s">
        <v>32</v>
      </c>
      <c r="E213" s="50" t="s">
        <v>511</v>
      </c>
      <c r="F213" s="90" t="s">
        <v>463</v>
      </c>
      <c r="G213" s="89">
        <v>46033</v>
      </c>
      <c r="H213" s="83">
        <v>38780</v>
      </c>
      <c r="I213" s="83"/>
      <c r="J213" s="83">
        <f>SUM(Table14[[#This Row],[LC Value]:[Amd Value]])</f>
        <v>38780</v>
      </c>
      <c r="K213" s="83">
        <v>2.8</v>
      </c>
      <c r="L213" s="84">
        <v>13850</v>
      </c>
      <c r="M213" s="85" t="s">
        <v>441</v>
      </c>
      <c r="N213" s="85" t="s">
        <v>440</v>
      </c>
      <c r="O213" s="86" t="str">
        <f>IFERROR(_xlfn.XLOOKUP(C213, Data!$A$2:$A$236, Data!$C$2:$C$236), "")</f>
        <v>MD. Sir</v>
      </c>
    </row>
    <row r="214" spans="1:15" ht="45" x14ac:dyDescent="0.35">
      <c r="A214" s="95" t="s">
        <v>374</v>
      </c>
      <c r="B214" s="81" t="s">
        <v>508</v>
      </c>
      <c r="C214" s="44" t="s">
        <v>200</v>
      </c>
      <c r="D214" s="54" t="s">
        <v>135</v>
      </c>
      <c r="E214" s="50" t="s">
        <v>509</v>
      </c>
      <c r="F214" s="90" t="s">
        <v>463</v>
      </c>
      <c r="G214" s="89">
        <v>46033</v>
      </c>
      <c r="H214" s="83">
        <v>133590</v>
      </c>
      <c r="I214" s="83"/>
      <c r="J214" s="83">
        <f>SUM(Table14[[#This Row],[LC Value]:[Amd Value]])</f>
        <v>133590</v>
      </c>
      <c r="K214" s="83">
        <v>3.05</v>
      </c>
      <c r="L214" s="84">
        <v>43800</v>
      </c>
      <c r="M214" s="85" t="s">
        <v>441</v>
      </c>
      <c r="N214" s="85" t="s">
        <v>440</v>
      </c>
      <c r="O214" s="86" t="str">
        <f>IFERROR(_xlfn.XLOOKUP(C214, Data!$A$2:$A$236, Data!$C$2:$C$236), "")</f>
        <v>MD. Sir</v>
      </c>
    </row>
    <row r="215" spans="1:15" ht="30" x14ac:dyDescent="0.35">
      <c r="A215" s="95" t="s">
        <v>372</v>
      </c>
      <c r="B215" s="81" t="s">
        <v>504</v>
      </c>
      <c r="C215" s="44" t="s">
        <v>200</v>
      </c>
      <c r="D215" s="54" t="s">
        <v>32</v>
      </c>
      <c r="E215" s="50" t="s">
        <v>505</v>
      </c>
      <c r="F215" s="90" t="s">
        <v>463</v>
      </c>
      <c r="G215" s="89">
        <v>46033</v>
      </c>
      <c r="H215" s="83">
        <v>68200</v>
      </c>
      <c r="I215" s="83"/>
      <c r="J215" s="83">
        <f>SUM(Table14[[#This Row],[LC Value]:[Amd Value]])</f>
        <v>68200</v>
      </c>
      <c r="K215" s="83">
        <v>2.4</v>
      </c>
      <c r="L215" s="84">
        <v>7200</v>
      </c>
      <c r="M215" s="85" t="s">
        <v>441</v>
      </c>
      <c r="N215" s="85" t="s">
        <v>440</v>
      </c>
      <c r="O215" s="86" t="str">
        <f>IFERROR(_xlfn.XLOOKUP(C215, Data!$A$2:$A$236, Data!$C$2:$C$236), "")</f>
        <v>MD. Sir</v>
      </c>
    </row>
    <row r="216" spans="1:15" ht="30" x14ac:dyDescent="0.35">
      <c r="A216" s="95" t="s">
        <v>370</v>
      </c>
      <c r="B216" s="81" t="s">
        <v>438</v>
      </c>
      <c r="C216" s="44" t="s">
        <v>199</v>
      </c>
      <c r="D216" s="54" t="s">
        <v>98</v>
      </c>
      <c r="E216" s="50" t="s">
        <v>439</v>
      </c>
      <c r="F216" s="90" t="s">
        <v>367</v>
      </c>
      <c r="G216" s="89">
        <v>46033</v>
      </c>
      <c r="H216" s="83">
        <v>19440</v>
      </c>
      <c r="I216" s="83"/>
      <c r="J216" s="83">
        <f>SUM(Table14[[#This Row],[LC Value]:[Amd Value]])</f>
        <v>19440</v>
      </c>
      <c r="K216" s="83">
        <v>2.4</v>
      </c>
      <c r="L216" s="84">
        <v>7200</v>
      </c>
      <c r="M216" s="85" t="s">
        <v>441</v>
      </c>
      <c r="N216" s="85" t="s">
        <v>440</v>
      </c>
      <c r="O216" s="86" t="str">
        <f>IFERROR(_xlfn.XLOOKUP(C216, Data!$A$2:$A$236, Data!$C$2:$C$236), "")</f>
        <v>MD. Sir</v>
      </c>
    </row>
    <row r="217" spans="1:15" ht="45" x14ac:dyDescent="0.35">
      <c r="A217" s="95" t="s">
        <v>368</v>
      </c>
      <c r="B217" s="81" t="s">
        <v>404</v>
      </c>
      <c r="C217" s="44" t="s">
        <v>199</v>
      </c>
      <c r="D217" s="54" t="s">
        <v>353</v>
      </c>
      <c r="E217" s="50" t="s">
        <v>405</v>
      </c>
      <c r="F217" s="90" t="s">
        <v>367</v>
      </c>
      <c r="G217" s="89">
        <v>46033</v>
      </c>
      <c r="H217" s="83">
        <f>7777.5+25990+8702.5</f>
        <v>42470</v>
      </c>
      <c r="I217" s="83"/>
      <c r="J217" s="83">
        <f>SUM(Table14[[#This Row],[LC Value]:[Amd Value]])</f>
        <v>42470</v>
      </c>
      <c r="K217" s="83">
        <v>2.5</v>
      </c>
      <c r="L217" s="84">
        <v>19750</v>
      </c>
      <c r="M217" s="85" t="s">
        <v>395</v>
      </c>
      <c r="N217" s="85" t="s">
        <v>394</v>
      </c>
      <c r="O217" s="86" t="str">
        <f>IFERROR(_xlfn.XLOOKUP(C217, Data!$A$2:$A$236, Data!$C$2:$C$236), "")</f>
        <v>MD. Sir</v>
      </c>
    </row>
    <row r="218" spans="1:15" ht="85.5" x14ac:dyDescent="0.35">
      <c r="A218" s="95" t="s">
        <v>364</v>
      </c>
      <c r="B218" s="81" t="s">
        <v>402</v>
      </c>
      <c r="C218" s="44" t="s">
        <v>199</v>
      </c>
      <c r="D218" s="54" t="s">
        <v>32</v>
      </c>
      <c r="E218" s="50" t="s">
        <v>403</v>
      </c>
      <c r="F218" s="90" t="s">
        <v>367</v>
      </c>
      <c r="G218" s="89">
        <v>46033</v>
      </c>
      <c r="H218" s="83">
        <f>19500+17480+43700+20540+40455+3967.5</f>
        <v>145642.5</v>
      </c>
      <c r="I218" s="83"/>
      <c r="J218" s="83">
        <f>SUM(Table14[[#This Row],[LC Value]:[Amd Value]])</f>
        <v>145642.5</v>
      </c>
      <c r="K218" s="83">
        <v>2.5</v>
      </c>
      <c r="L218" s="84">
        <v>19750</v>
      </c>
      <c r="M218" s="85" t="s">
        <v>395</v>
      </c>
      <c r="N218" s="85" t="s">
        <v>394</v>
      </c>
      <c r="O218" s="86" t="str">
        <f>IFERROR(_xlfn.XLOOKUP(C218, Data!$A$2:$A$236, Data!$C$2:$C$236), "")</f>
        <v>MD. Sir</v>
      </c>
    </row>
    <row r="219" spans="1:15" ht="30" x14ac:dyDescent="0.35">
      <c r="A219" s="95" t="s">
        <v>351</v>
      </c>
      <c r="B219" s="81" t="s">
        <v>399</v>
      </c>
      <c r="C219" s="44" t="s">
        <v>200</v>
      </c>
      <c r="D219" s="54" t="s">
        <v>79</v>
      </c>
      <c r="E219" s="50" t="s">
        <v>401</v>
      </c>
      <c r="F219" s="90" t="s">
        <v>367</v>
      </c>
      <c r="G219" s="89">
        <v>46033</v>
      </c>
      <c r="H219" s="83">
        <v>55300</v>
      </c>
      <c r="I219" s="83"/>
      <c r="J219" s="83">
        <f>SUM(Table14[[#This Row],[LC Value]:[Amd Value]])</f>
        <v>55300</v>
      </c>
      <c r="K219" s="83">
        <v>2.2999999999999998</v>
      </c>
      <c r="L219" s="84">
        <v>19750</v>
      </c>
      <c r="M219" s="85" t="s">
        <v>395</v>
      </c>
      <c r="N219" s="85" t="s">
        <v>394</v>
      </c>
      <c r="O219" s="86" t="str">
        <f>IFERROR(_xlfn.XLOOKUP(C219, Data!$A$2:$A$236, Data!$C$2:$C$236), "")</f>
        <v>MD. Sir</v>
      </c>
    </row>
    <row r="220" spans="1:15" ht="30" x14ac:dyDescent="0.35">
      <c r="A220" s="95" t="s">
        <v>346</v>
      </c>
      <c r="B220" s="81" t="s">
        <v>400</v>
      </c>
      <c r="C220" s="44" t="s">
        <v>199</v>
      </c>
      <c r="D220" s="54" t="s">
        <v>98</v>
      </c>
      <c r="E220" s="50" t="s">
        <v>398</v>
      </c>
      <c r="F220" s="90" t="s">
        <v>367</v>
      </c>
      <c r="G220" s="89">
        <v>46033</v>
      </c>
      <c r="H220" s="83">
        <v>39045</v>
      </c>
      <c r="I220" s="83"/>
      <c r="J220" s="83">
        <f>SUM(Table14[[#This Row],[LC Value]:[Amd Value]])</f>
        <v>39045</v>
      </c>
      <c r="K220" s="83">
        <v>2.2999999999999998</v>
      </c>
      <c r="L220" s="84">
        <v>17100</v>
      </c>
      <c r="M220" s="85" t="s">
        <v>395</v>
      </c>
      <c r="N220" s="85" t="s">
        <v>394</v>
      </c>
      <c r="O220" s="86" t="str">
        <f>IFERROR(_xlfn.XLOOKUP(C220, Data!$A$2:$A$236, Data!$C$2:$C$236), "")</f>
        <v>MD. Sir</v>
      </c>
    </row>
    <row r="221" spans="1:15" ht="45" x14ac:dyDescent="0.35">
      <c r="A221" s="95" t="s">
        <v>341</v>
      </c>
      <c r="B221" s="81" t="s">
        <v>358</v>
      </c>
      <c r="C221" s="44" t="s">
        <v>199</v>
      </c>
      <c r="D221" s="54" t="s">
        <v>353</v>
      </c>
      <c r="E221" s="50" t="s">
        <v>359</v>
      </c>
      <c r="F221" s="90" t="s">
        <v>343</v>
      </c>
      <c r="G221" s="89">
        <v>46025</v>
      </c>
      <c r="H221" s="83">
        <v>12822.5</v>
      </c>
      <c r="I221" s="83"/>
      <c r="J221" s="83">
        <f>SUM(Table14[[#This Row],[LC Value]:[Amd Value]])</f>
        <v>12822.5</v>
      </c>
      <c r="K221" s="83">
        <v>2.2999999999999998</v>
      </c>
      <c r="L221" s="84">
        <v>5050</v>
      </c>
      <c r="M221" s="96" t="s">
        <v>361</v>
      </c>
      <c r="N221" s="96" t="s">
        <v>360</v>
      </c>
      <c r="O221" s="86" t="str">
        <f>IFERROR(_xlfn.XLOOKUP(C221, Data!$A$2:$A$236, Data!$C$2:$C$236), "")</f>
        <v>MD. Sir</v>
      </c>
    </row>
  </sheetData>
  <conditionalFormatting sqref="A190:A1048576 A1">
    <cfRule type="duplicateValues" dxfId="22" priority="4"/>
  </conditionalFormatting>
  <conditionalFormatting sqref="B1:B1048576">
    <cfRule type="duplicateValues" dxfId="21" priority="3"/>
  </conditionalFormatting>
  <conditionalFormatting sqref="E1:E1048576">
    <cfRule type="duplicateValues" dxfId="20" priority="2"/>
  </conditionalFormatting>
  <pageMargins left="0.25" right="0.25" top="1.05" bottom="0.75" header="0.5" footer="0.3"/>
  <pageSetup paperSize="9" scale="62" fitToHeight="0" orientation="landscape" r:id="rId1"/>
  <headerFooter scaleWithDoc="0">
    <oddHeader>&amp;L&amp;G&amp;C&amp;"-,Bold"&amp;28&amp;KC00000LC REG&amp;K01+000|&amp;KC00000NZAL&amp;K000000|&amp;KC000002026&amp;R&amp;D</oddHeader>
    <oddFooter>Page &amp;P of &amp;N</oddFooter>
  </headerFooter>
  <ignoredErrors>
    <ignoredError sqref="A221:D221 F221:O221" numberStoredAsText="1"/>
  </ignoredErrors>
  <legacyDrawing r:id="rId2"/>
  <legacyDrawingHF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357F44F-C67B-4E2A-9CFE-A65328F2F785}">
            <xm:f>AND($E2&lt;&gt;"", SUMPRODUCT(--(Data!$E$2:$E$500&lt;&gt;""), --(Data!$F$2:$F$500&lt;&gt;""), --ISNUMBER(SEARCH(Data!$E$2:$E$500, $D2)), --(UPPER(IF(ISNUMBER(Data!$F$2:$F$500), TEXT(Data!$F$2:$F$500,"0000"), TRIM(Data!$F$2:$F$500))) = UPPER(LEFT(TRIM($E2),4)))) = 0)</xm:f>
            <x14:dxf>
              <fill>
                <patternFill>
                  <bgColor rgb="FFFFB7B7"/>
                </patternFill>
              </fill>
            </x14:dxf>
          </x14:cfRule>
          <xm:sqref>E2:E221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xr:uid="{00000000-0002-0000-0100-000000000000}">
          <x14:formula1>
            <xm:f>Data!$B$2:$B$171</xm:f>
          </x14:formula1>
          <xm:sqref>D136:D221</xm:sqref>
        </x14:dataValidation>
        <x14:dataValidation type="list" allowBlank="1" showInputMessage="1" xr:uid="{00000000-0002-0000-0100-000001000000}">
          <x14:formula1>
            <xm:f>Data!$A$2:$A$173</xm:f>
          </x14:formula1>
          <xm:sqref>C136:C204</xm:sqref>
        </x14:dataValidation>
        <x14:dataValidation type="list" allowBlank="1" showInputMessage="1" xr:uid="{00000000-0002-0000-0100-000002000000}">
          <x14:formula1>
            <xm:f>Data!$A$2:$A$171</xm:f>
          </x14:formula1>
          <xm:sqref>C205:C1048576</xm:sqref>
        </x14:dataValidation>
        <x14:dataValidation type="list" allowBlank="1" showInputMessage="1" xr:uid="{00000000-0002-0000-0100-000003000000}">
          <x14:formula1>
            <xm:f>Data!$A$2:$A$186</xm:f>
          </x14:formula1>
          <xm:sqref>C35:C135</xm:sqref>
        </x14:dataValidation>
        <x14:dataValidation type="list" allowBlank="1" showInputMessage="1" xr:uid="{00000000-0002-0000-0100-000004000000}">
          <x14:formula1>
            <xm:f>Data!$B$2:$B$186</xm:f>
          </x14:formula1>
          <xm:sqref>D35:D135</xm:sqref>
        </x14:dataValidation>
        <x14:dataValidation type="list" allowBlank="1" showInputMessage="1" xr:uid="{E5740A0E-C2FE-4D35-AF44-069760F84DBE}">
          <x14:formula1>
            <xm:f>Data!$A$2:$A$204</xm:f>
          </x14:formula1>
          <xm:sqref>C2:C34</xm:sqref>
        </x14:dataValidation>
        <x14:dataValidation type="list" allowBlank="1" showInputMessage="1" xr:uid="{746C1F1C-4299-4725-A15B-FC5E359927A3}">
          <x14:formula1>
            <xm:f>Data!$B$2:$B$204</xm:f>
          </x14:formula1>
          <xm:sqref>D2:D34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114"/>
  <sheetViews>
    <sheetView showRuler="0" view="pageBreakPreview" zoomScaleNormal="100" zoomScaleSheetLayoutView="100" zoomScalePageLayoutView="110" workbookViewId="0">
      <selection activeCell="F1" sqref="F1"/>
    </sheetView>
  </sheetViews>
  <sheetFormatPr defaultRowHeight="16.5" x14ac:dyDescent="0.35"/>
  <cols>
    <col min="1" max="1" width="5.6640625" bestFit="1" customWidth="1"/>
    <col min="2" max="2" width="7.6640625" style="1" customWidth="1"/>
    <col min="3" max="3" width="24" style="1" customWidth="1"/>
    <col min="4" max="4" width="20.109375" style="1" customWidth="1"/>
    <col min="5" max="5" width="16.5546875" style="18" bestFit="1" customWidth="1"/>
    <col min="6" max="6" width="9" style="2" bestFit="1" customWidth="1"/>
    <col min="7" max="7" width="10.44140625" style="3" bestFit="1" customWidth="1"/>
    <col min="8" max="8" width="14" style="4" customWidth="1"/>
    <col min="9" max="9" width="12.5546875" style="4" customWidth="1"/>
    <col min="10" max="10" width="14" style="4" customWidth="1"/>
    <col min="11" max="11" width="11.88671875" style="4" customWidth="1"/>
    <col min="12" max="12" width="10.88671875" style="26" customWidth="1"/>
    <col min="13" max="13" width="12.5546875" style="3" bestFit="1" customWidth="1"/>
    <col min="14" max="14" width="9.88671875" style="3" bestFit="1" customWidth="1"/>
    <col min="15" max="15" width="16.5546875" customWidth="1"/>
  </cols>
  <sheetData>
    <row r="1" spans="1:15" s="125" customFormat="1" ht="15" x14ac:dyDescent="0.35">
      <c r="A1" s="125" t="s">
        <v>7</v>
      </c>
      <c r="B1" s="126" t="s">
        <v>0</v>
      </c>
      <c r="C1" s="126" t="s">
        <v>1</v>
      </c>
      <c r="D1" s="126" t="s">
        <v>2</v>
      </c>
      <c r="E1" s="127" t="s">
        <v>11</v>
      </c>
      <c r="F1" s="128" t="s">
        <v>10</v>
      </c>
      <c r="G1" s="129" t="s">
        <v>9</v>
      </c>
      <c r="H1" s="130" t="s">
        <v>13</v>
      </c>
      <c r="I1" s="130" t="s">
        <v>14</v>
      </c>
      <c r="J1" s="130" t="s">
        <v>12</v>
      </c>
      <c r="K1" s="130" t="s">
        <v>3</v>
      </c>
      <c r="L1" s="131" t="s">
        <v>4</v>
      </c>
      <c r="M1" s="129" t="s">
        <v>5</v>
      </c>
      <c r="N1" s="129" t="s">
        <v>6</v>
      </c>
      <c r="O1" s="125" t="s">
        <v>8</v>
      </c>
    </row>
    <row r="2" spans="1:15" ht="30" x14ac:dyDescent="0.35">
      <c r="A2" s="41" t="s">
        <v>515</v>
      </c>
      <c r="B2" s="61" t="s">
        <v>2796</v>
      </c>
      <c r="C2" s="97" t="s">
        <v>200</v>
      </c>
      <c r="D2" s="61" t="s">
        <v>32</v>
      </c>
      <c r="E2" s="98" t="s">
        <v>2797</v>
      </c>
      <c r="F2" s="69" t="s">
        <v>1806</v>
      </c>
      <c r="G2" s="69">
        <v>46193</v>
      </c>
      <c r="H2" s="65">
        <v>24050</v>
      </c>
      <c r="I2" s="65"/>
      <c r="J2" s="65">
        <f>SUM(Table145[[#This Row],[LC Value]:[Amd Value]])</f>
        <v>24050</v>
      </c>
      <c r="K2" s="65">
        <v>13</v>
      </c>
      <c r="L2" s="66">
        <v>1850</v>
      </c>
      <c r="M2" s="99" t="s">
        <v>2125</v>
      </c>
      <c r="N2" s="99" t="s">
        <v>2795</v>
      </c>
      <c r="O2" s="68" t="str">
        <f>IFERROR(_xlfn.XLOOKUP(C2, Data!$A$2:$A$236, Data!$C$2:$C$236), "")</f>
        <v>MD. Sir</v>
      </c>
    </row>
    <row r="3" spans="1:15" ht="30" x14ac:dyDescent="0.35">
      <c r="A3" s="41" t="s">
        <v>512</v>
      </c>
      <c r="B3" s="61" t="s">
        <v>2793</v>
      </c>
      <c r="C3" s="97" t="s">
        <v>200</v>
      </c>
      <c r="D3" s="61" t="s">
        <v>98</v>
      </c>
      <c r="E3" s="98" t="s">
        <v>2794</v>
      </c>
      <c r="F3" s="69" t="s">
        <v>1806</v>
      </c>
      <c r="G3" s="69">
        <v>46193</v>
      </c>
      <c r="H3" s="65">
        <v>8000</v>
      </c>
      <c r="I3" s="65"/>
      <c r="J3" s="65">
        <f>SUM(Table145[[#This Row],[LC Value]:[Amd Value]])</f>
        <v>8000</v>
      </c>
      <c r="K3" s="65">
        <v>16</v>
      </c>
      <c r="L3" s="66">
        <v>500</v>
      </c>
      <c r="M3" s="99" t="s">
        <v>2125</v>
      </c>
      <c r="N3" s="99" t="s">
        <v>2795</v>
      </c>
      <c r="O3" s="68" t="str">
        <f>IFERROR(_xlfn.XLOOKUP(C3, Data!$A$2:$A$236, Data!$C$2:$C$236), "")</f>
        <v>MD. Sir</v>
      </c>
    </row>
    <row r="4" spans="1:15" ht="45" x14ac:dyDescent="0.35">
      <c r="A4" s="41" t="s">
        <v>503</v>
      </c>
      <c r="B4" s="61" t="s">
        <v>2766</v>
      </c>
      <c r="C4" s="60" t="s">
        <v>22</v>
      </c>
      <c r="D4" s="61" t="s">
        <v>23</v>
      </c>
      <c r="E4" s="98" t="s">
        <v>2767</v>
      </c>
      <c r="F4" s="69" t="s">
        <v>1735</v>
      </c>
      <c r="G4" s="63">
        <v>46194</v>
      </c>
      <c r="H4" s="65">
        <v>48820</v>
      </c>
      <c r="I4" s="65"/>
      <c r="J4" s="65">
        <f>SUM(Table145[[#This Row],[LC Value]:[Amd Value]])</f>
        <v>48820</v>
      </c>
      <c r="K4" s="65">
        <v>19.7</v>
      </c>
      <c r="L4" s="66">
        <v>2000</v>
      </c>
      <c r="M4" s="99" t="s">
        <v>2726</v>
      </c>
      <c r="N4" s="99" t="s">
        <v>2768</v>
      </c>
      <c r="O4" s="68" t="str">
        <f>IFERROR(_xlfn.XLOOKUP(C4, Data!$A$2:$A$236, Data!$C$2:$C$236), "")</f>
        <v>Director Sir</v>
      </c>
    </row>
    <row r="5" spans="1:15" ht="30" x14ac:dyDescent="0.35">
      <c r="A5" s="41" t="s">
        <v>500</v>
      </c>
      <c r="B5" s="61" t="s">
        <v>2663</v>
      </c>
      <c r="C5" s="60" t="s">
        <v>200</v>
      </c>
      <c r="D5" s="61" t="s">
        <v>98</v>
      </c>
      <c r="E5" s="98" t="s">
        <v>2664</v>
      </c>
      <c r="F5" s="69" t="s">
        <v>2129</v>
      </c>
      <c r="G5" s="63">
        <v>46191</v>
      </c>
      <c r="H5" s="65">
        <v>12150</v>
      </c>
      <c r="I5" s="65"/>
      <c r="J5" s="65">
        <f>SUM(Table145[[#This Row],[LC Value]:[Amd Value]])</f>
        <v>12150</v>
      </c>
      <c r="K5" s="65">
        <v>13.5</v>
      </c>
      <c r="L5" s="66">
        <v>900</v>
      </c>
      <c r="M5" s="99" t="s">
        <v>2638</v>
      </c>
      <c r="N5" s="99" t="s">
        <v>2637</v>
      </c>
      <c r="O5" s="68" t="str">
        <f>IFERROR(_xlfn.XLOOKUP(C5, Data!$A$2:$A$236, Data!$C$2:$C$236), "")</f>
        <v>MD. Sir</v>
      </c>
    </row>
    <row r="6" spans="1:15" ht="30" x14ac:dyDescent="0.35">
      <c r="A6" s="41" t="s">
        <v>498</v>
      </c>
      <c r="B6" s="61" t="s">
        <v>2635</v>
      </c>
      <c r="C6" s="60" t="s">
        <v>199</v>
      </c>
      <c r="D6" s="61" t="s">
        <v>98</v>
      </c>
      <c r="E6" s="98" t="s">
        <v>2636</v>
      </c>
      <c r="F6" s="69" t="s">
        <v>1605</v>
      </c>
      <c r="G6" s="63">
        <v>46191</v>
      </c>
      <c r="H6" s="65">
        <v>9800</v>
      </c>
      <c r="I6" s="65"/>
      <c r="J6" s="65">
        <f>SUM(Table145[[#This Row],[LC Value]:[Amd Value]])</f>
        <v>9800</v>
      </c>
      <c r="K6" s="65">
        <v>14</v>
      </c>
      <c r="L6" s="66">
        <v>700</v>
      </c>
      <c r="M6" s="99" t="s">
        <v>2638</v>
      </c>
      <c r="N6" s="99" t="s">
        <v>2637</v>
      </c>
      <c r="O6" s="68" t="str">
        <f>IFERROR(_xlfn.XLOOKUP(C6, Data!$A$2:$A$236, Data!$C$2:$C$236), "")</f>
        <v>MD. Sir</v>
      </c>
    </row>
    <row r="7" spans="1:15" ht="30" x14ac:dyDescent="0.35">
      <c r="A7" s="41" t="s">
        <v>495</v>
      </c>
      <c r="B7" s="61" t="s">
        <v>2571</v>
      </c>
      <c r="C7" s="60" t="s">
        <v>200</v>
      </c>
      <c r="D7" s="61" t="s">
        <v>98</v>
      </c>
      <c r="E7" s="98" t="s">
        <v>2572</v>
      </c>
      <c r="F7" s="69" t="s">
        <v>1566</v>
      </c>
      <c r="G7" s="63">
        <v>46181</v>
      </c>
      <c r="H7" s="65">
        <v>125550</v>
      </c>
      <c r="I7" s="65"/>
      <c r="J7" s="65">
        <f>SUM(Table145[[#This Row],[LC Value]:[Amd Value]])</f>
        <v>125550</v>
      </c>
      <c r="K7" s="65">
        <v>13.5</v>
      </c>
      <c r="L7" s="66">
        <v>9300</v>
      </c>
      <c r="M7" s="99" t="s">
        <v>1996</v>
      </c>
      <c r="N7" s="99" t="s">
        <v>2125</v>
      </c>
      <c r="O7" s="68" t="str">
        <f>IFERROR(_xlfn.XLOOKUP(C7, Data!$A$2:$A$236, Data!$C$2:$C$236), "")</f>
        <v>MD. Sir</v>
      </c>
    </row>
    <row r="8" spans="1:15" ht="30" x14ac:dyDescent="0.35">
      <c r="A8" s="41" t="s">
        <v>492</v>
      </c>
      <c r="B8" s="61" t="s">
        <v>2562</v>
      </c>
      <c r="C8" s="60" t="s">
        <v>200</v>
      </c>
      <c r="D8" s="61" t="s">
        <v>32</v>
      </c>
      <c r="E8" s="98" t="s">
        <v>2563</v>
      </c>
      <c r="F8" s="69" t="s">
        <v>1718</v>
      </c>
      <c r="G8" s="63">
        <v>46181</v>
      </c>
      <c r="H8" s="65">
        <v>8000</v>
      </c>
      <c r="I8" s="65"/>
      <c r="J8" s="65">
        <f>SUM(Table145[[#This Row],[LC Value]:[Amd Value]])</f>
        <v>8000</v>
      </c>
      <c r="K8" s="65">
        <v>20</v>
      </c>
      <c r="L8" s="66">
        <v>400</v>
      </c>
      <c r="M8" s="99" t="s">
        <v>1996</v>
      </c>
      <c r="N8" s="99" t="s">
        <v>2125</v>
      </c>
      <c r="O8" s="68" t="str">
        <f>IFERROR(_xlfn.XLOOKUP(C8, Data!$A$2:$A$236, Data!$C$2:$C$236), "")</f>
        <v>MD. Sir</v>
      </c>
    </row>
    <row r="9" spans="1:15" ht="30" x14ac:dyDescent="0.35">
      <c r="A9" s="41" t="s">
        <v>489</v>
      </c>
      <c r="B9" s="61" t="s">
        <v>2546</v>
      </c>
      <c r="C9" s="60" t="s">
        <v>200</v>
      </c>
      <c r="D9" s="61" t="s">
        <v>98</v>
      </c>
      <c r="E9" s="98" t="s">
        <v>2547</v>
      </c>
      <c r="F9" s="69" t="s">
        <v>1718</v>
      </c>
      <c r="G9" s="63">
        <v>46181</v>
      </c>
      <c r="H9" s="65">
        <v>25200</v>
      </c>
      <c r="I9" s="65"/>
      <c r="J9" s="65">
        <f>SUM(Table145[[#This Row],[LC Value]:[Amd Value]])</f>
        <v>25200</v>
      </c>
      <c r="K9" s="65">
        <v>14</v>
      </c>
      <c r="L9" s="66">
        <v>1800</v>
      </c>
      <c r="M9" s="99" t="s">
        <v>1996</v>
      </c>
      <c r="N9" s="99" t="s">
        <v>2125</v>
      </c>
      <c r="O9" s="68" t="str">
        <f>IFERROR(_xlfn.XLOOKUP(C9, Data!$A$2:$A$236, Data!$C$2:$C$236), "")</f>
        <v>MD. Sir</v>
      </c>
    </row>
    <row r="10" spans="1:15" ht="30" x14ac:dyDescent="0.35">
      <c r="A10" s="41" t="s">
        <v>486</v>
      </c>
      <c r="B10" s="61" t="s">
        <v>2398</v>
      </c>
      <c r="C10" s="60" t="s">
        <v>200</v>
      </c>
      <c r="D10" s="61" t="s">
        <v>98</v>
      </c>
      <c r="E10" s="98" t="s">
        <v>2399</v>
      </c>
      <c r="F10" s="69" t="s">
        <v>1255</v>
      </c>
      <c r="G10" s="63">
        <v>46162</v>
      </c>
      <c r="H10" s="65">
        <v>14950</v>
      </c>
      <c r="I10" s="65"/>
      <c r="J10" s="65">
        <f>SUM(Table145[[#This Row],[LC Value]:[Amd Value]])</f>
        <v>14950</v>
      </c>
      <c r="K10" s="65">
        <v>13</v>
      </c>
      <c r="L10" s="66">
        <v>1150</v>
      </c>
      <c r="M10" s="99" t="s">
        <v>1996</v>
      </c>
      <c r="N10" s="99" t="s">
        <v>2125</v>
      </c>
      <c r="O10" s="68" t="str">
        <f>IFERROR(_xlfn.XLOOKUP(C10, Data!$A$2:$A$236, Data!$C$2:$C$236), "")</f>
        <v>MD. Sir</v>
      </c>
    </row>
    <row r="11" spans="1:15" ht="30" x14ac:dyDescent="0.35">
      <c r="A11" s="41" t="s">
        <v>483</v>
      </c>
      <c r="B11" s="61" t="s">
        <v>2380</v>
      </c>
      <c r="C11" s="60" t="s">
        <v>199</v>
      </c>
      <c r="D11" s="61" t="s">
        <v>32</v>
      </c>
      <c r="E11" s="98" t="s">
        <v>2381</v>
      </c>
      <c r="F11" s="69" t="s">
        <v>1255</v>
      </c>
      <c r="G11" s="63">
        <v>46161</v>
      </c>
      <c r="H11" s="65">
        <v>13300</v>
      </c>
      <c r="I11" s="65"/>
      <c r="J11" s="65">
        <f>SUM(Table145[[#This Row],[LC Value]:[Amd Value]])</f>
        <v>13300</v>
      </c>
      <c r="K11" s="65">
        <v>14</v>
      </c>
      <c r="L11" s="66">
        <v>950</v>
      </c>
      <c r="M11" s="99" t="s">
        <v>1996</v>
      </c>
      <c r="N11" s="99" t="s">
        <v>2125</v>
      </c>
      <c r="O11" s="68" t="str">
        <f>IFERROR(_xlfn.XLOOKUP(C11, Data!$A$2:$A$236, Data!$C$2:$C$236), "")</f>
        <v>MD. Sir</v>
      </c>
    </row>
    <row r="12" spans="1:15" ht="45" x14ac:dyDescent="0.35">
      <c r="A12" s="100" t="s">
        <v>479</v>
      </c>
      <c r="B12" s="61" t="s">
        <v>2231</v>
      </c>
      <c r="C12" s="60" t="s">
        <v>22</v>
      </c>
      <c r="D12" s="61" t="s">
        <v>23</v>
      </c>
      <c r="E12" s="98" t="s">
        <v>2232</v>
      </c>
      <c r="F12" s="69" t="s">
        <v>1941</v>
      </c>
      <c r="G12" s="63">
        <v>46147</v>
      </c>
      <c r="H12" s="65">
        <v>91000</v>
      </c>
      <c r="I12" s="65"/>
      <c r="J12" s="65">
        <f>SUM(Table145[[#This Row],[LC Value]:[Amd Value]])</f>
        <v>91000</v>
      </c>
      <c r="K12" s="65">
        <v>19</v>
      </c>
      <c r="L12" s="66">
        <v>4800</v>
      </c>
      <c r="M12" s="99" t="s">
        <v>2234</v>
      </c>
      <c r="N12" s="99" t="s">
        <v>2233</v>
      </c>
      <c r="O12" s="68" t="str">
        <f>IFERROR(_xlfn.XLOOKUP(C12, Data!$A$2:$A$236, Data!$C$2:$C$236), "")</f>
        <v>Director Sir</v>
      </c>
    </row>
    <row r="13" spans="1:15" ht="30" x14ac:dyDescent="0.35">
      <c r="A13" s="41" t="s">
        <v>476</v>
      </c>
      <c r="B13" s="61" t="s">
        <v>2206</v>
      </c>
      <c r="C13" s="60" t="s">
        <v>200</v>
      </c>
      <c r="D13" s="61" t="s">
        <v>98</v>
      </c>
      <c r="E13" s="98" t="s">
        <v>2207</v>
      </c>
      <c r="F13" s="69" t="s">
        <v>1256</v>
      </c>
      <c r="G13" s="63">
        <v>46147</v>
      </c>
      <c r="H13" s="65">
        <v>16800</v>
      </c>
      <c r="I13" s="65"/>
      <c r="J13" s="65">
        <f>SUM(Table145[[#This Row],[LC Value]:[Amd Value]])</f>
        <v>16800</v>
      </c>
      <c r="K13" s="65">
        <v>16</v>
      </c>
      <c r="L13" s="66">
        <v>1050</v>
      </c>
      <c r="M13" s="99" t="s">
        <v>1941</v>
      </c>
      <c r="N13" s="99" t="s">
        <v>1940</v>
      </c>
      <c r="O13" s="68" t="str">
        <f>IFERROR(_xlfn.XLOOKUP(C13, Data!$A$2:$A$236, Data!$C$2:$C$236), "")</f>
        <v>MD. Sir</v>
      </c>
    </row>
    <row r="14" spans="1:15" ht="30" x14ac:dyDescent="0.35">
      <c r="A14" s="41" t="s">
        <v>473</v>
      </c>
      <c r="B14" s="61" t="s">
        <v>2039</v>
      </c>
      <c r="C14" s="60" t="s">
        <v>200</v>
      </c>
      <c r="D14" s="61" t="s">
        <v>98</v>
      </c>
      <c r="E14" s="98" t="s">
        <v>2040</v>
      </c>
      <c r="F14" s="69" t="s">
        <v>1094</v>
      </c>
      <c r="G14" s="63">
        <v>46141</v>
      </c>
      <c r="H14" s="65">
        <v>23400</v>
      </c>
      <c r="I14" s="65"/>
      <c r="J14" s="65">
        <f>SUM(Table145[[#This Row],[LC Value]:[Amd Value]])</f>
        <v>23400</v>
      </c>
      <c r="K14" s="65">
        <v>20</v>
      </c>
      <c r="L14" s="66">
        <v>1350</v>
      </c>
      <c r="M14" s="99" t="s">
        <v>1941</v>
      </c>
      <c r="N14" s="99" t="s">
        <v>1940</v>
      </c>
      <c r="O14" s="68" t="str">
        <f>IFERROR(_xlfn.XLOOKUP(C14, Data!$A$2:$A$236, Data!$C$2:$C$236), "")</f>
        <v>MD. Sir</v>
      </c>
    </row>
    <row r="15" spans="1:15" ht="30" x14ac:dyDescent="0.35">
      <c r="A15" s="41" t="s">
        <v>467</v>
      </c>
      <c r="B15" s="61" t="s">
        <v>2011</v>
      </c>
      <c r="C15" s="60" t="s">
        <v>200</v>
      </c>
      <c r="D15" s="61" t="s">
        <v>79</v>
      </c>
      <c r="E15" s="98" t="s">
        <v>2012</v>
      </c>
      <c r="F15" s="69" t="s">
        <v>968</v>
      </c>
      <c r="G15" s="63">
        <v>46141</v>
      </c>
      <c r="H15" s="65">
        <v>26250</v>
      </c>
      <c r="I15" s="65"/>
      <c r="J15" s="65">
        <f>SUM(Table145[[#This Row],[LC Value]:[Amd Value]])</f>
        <v>26250</v>
      </c>
      <c r="K15" s="65">
        <v>15</v>
      </c>
      <c r="L15" s="66">
        <v>1700</v>
      </c>
      <c r="M15" s="99" t="s">
        <v>1941</v>
      </c>
      <c r="N15" s="99" t="s">
        <v>1940</v>
      </c>
      <c r="O15" s="68" t="str">
        <f>IFERROR(_xlfn.XLOOKUP(C15, Data!$A$2:$A$236, Data!$C$2:$C$236), "")</f>
        <v>MD. Sir</v>
      </c>
    </row>
    <row r="16" spans="1:15" ht="30" x14ac:dyDescent="0.35">
      <c r="A16" s="41" t="s">
        <v>464</v>
      </c>
      <c r="B16" s="61" t="s">
        <v>1938</v>
      </c>
      <c r="C16" s="60" t="s">
        <v>200</v>
      </c>
      <c r="D16" s="61" t="s">
        <v>98</v>
      </c>
      <c r="E16" s="98" t="s">
        <v>1939</v>
      </c>
      <c r="F16" s="69" t="s">
        <v>1929</v>
      </c>
      <c r="G16" s="63">
        <v>46133</v>
      </c>
      <c r="H16" s="65">
        <v>36400</v>
      </c>
      <c r="I16" s="65"/>
      <c r="J16" s="65">
        <f>SUM(Table145[[#This Row],[LC Value]:[Amd Value]])</f>
        <v>36400</v>
      </c>
      <c r="K16" s="65">
        <v>14</v>
      </c>
      <c r="L16" s="66">
        <v>2600</v>
      </c>
      <c r="M16" s="99" t="s">
        <v>1941</v>
      </c>
      <c r="N16" s="99" t="s">
        <v>1940</v>
      </c>
      <c r="O16" s="68" t="str">
        <f>IFERROR(_xlfn.XLOOKUP(C16, Data!$A$2:$A$236, Data!$C$2:$C$236), "")</f>
        <v>MD. Sir</v>
      </c>
    </row>
    <row r="17" spans="1:15" ht="45" x14ac:dyDescent="0.35">
      <c r="A17" s="41" t="s">
        <v>460</v>
      </c>
      <c r="B17" s="61" t="s">
        <v>1807</v>
      </c>
      <c r="C17" s="60" t="s">
        <v>28</v>
      </c>
      <c r="D17" s="61" t="s">
        <v>63</v>
      </c>
      <c r="E17" s="98" t="s">
        <v>1808</v>
      </c>
      <c r="F17" s="69" t="s">
        <v>1809</v>
      </c>
      <c r="G17" s="63">
        <v>46131</v>
      </c>
      <c r="H17" s="101">
        <v>17000</v>
      </c>
      <c r="I17" s="65"/>
      <c r="J17" s="65">
        <f>SUM(Table145[[#This Row],[LC Value]:[Amd Value]])</f>
        <v>17000</v>
      </c>
      <c r="K17" s="65">
        <v>17</v>
      </c>
      <c r="L17" s="66">
        <v>1000</v>
      </c>
      <c r="M17" s="99" t="s">
        <v>1209</v>
      </c>
      <c r="N17" s="99" t="s">
        <v>1390</v>
      </c>
      <c r="O17" s="68" t="str">
        <f>IFERROR(_xlfn.XLOOKUP(C17, Data!$A$2:$A$236, Data!$C$2:$C$236), "")</f>
        <v>Mr. Lipu Sir</v>
      </c>
    </row>
    <row r="18" spans="1:15" ht="30" x14ac:dyDescent="0.35">
      <c r="A18" s="41" t="s">
        <v>454</v>
      </c>
      <c r="B18" s="61" t="s">
        <v>1667</v>
      </c>
      <c r="C18" s="60" t="s">
        <v>199</v>
      </c>
      <c r="D18" s="61" t="s">
        <v>98</v>
      </c>
      <c r="E18" s="98" t="s">
        <v>1668</v>
      </c>
      <c r="F18" s="69" t="s">
        <v>823</v>
      </c>
      <c r="G18" s="63">
        <v>46119</v>
      </c>
      <c r="H18" s="65">
        <v>9100</v>
      </c>
      <c r="I18" s="65">
        <v>16100</v>
      </c>
      <c r="J18" s="65">
        <f>SUM(Table145[[#This Row],[LC Value]:[Amd Value]])</f>
        <v>25200</v>
      </c>
      <c r="K18" s="65">
        <v>14</v>
      </c>
      <c r="L18" s="66">
        <v>650</v>
      </c>
      <c r="M18" s="99" t="s">
        <v>1209</v>
      </c>
      <c r="N18" s="99" t="s">
        <v>1390</v>
      </c>
      <c r="O18" s="68" t="str">
        <f>IFERROR(_xlfn.XLOOKUP(C18, Data!$A$2:$A$236, Data!$C$2:$C$236), "")</f>
        <v>MD. Sir</v>
      </c>
    </row>
    <row r="19" spans="1:15" ht="30" x14ac:dyDescent="0.35">
      <c r="A19" s="41" t="s">
        <v>450</v>
      </c>
      <c r="B19" s="61" t="s">
        <v>1615</v>
      </c>
      <c r="C19" s="60" t="s">
        <v>132</v>
      </c>
      <c r="D19" s="61" t="s">
        <v>133</v>
      </c>
      <c r="E19" s="98" t="s">
        <v>1616</v>
      </c>
      <c r="F19" s="69" t="s">
        <v>1466</v>
      </c>
      <c r="G19" s="63">
        <v>46114</v>
      </c>
      <c r="H19" s="65">
        <v>75075</v>
      </c>
      <c r="I19" s="65"/>
      <c r="J19" s="65">
        <f>SUM(Table145[[#This Row],[LC Value]:[Amd Value]])</f>
        <v>75075</v>
      </c>
      <c r="K19" s="65">
        <v>16.5</v>
      </c>
      <c r="L19" s="66">
        <v>4550</v>
      </c>
      <c r="M19" s="99" t="s">
        <v>1209</v>
      </c>
      <c r="N19" s="99" t="s">
        <v>1390</v>
      </c>
      <c r="O19" s="68" t="str">
        <f>IFERROR(_xlfn.XLOOKUP(C19, Data!$A$2:$A$236, Data!$C$2:$C$236), "")</f>
        <v>Mr. Lipu Sir</v>
      </c>
    </row>
    <row r="20" spans="1:15" ht="30" x14ac:dyDescent="0.35">
      <c r="A20" s="41" t="s">
        <v>445</v>
      </c>
      <c r="B20" s="61" t="s">
        <v>1613</v>
      </c>
      <c r="C20" s="60" t="s">
        <v>132</v>
      </c>
      <c r="D20" s="61" t="s">
        <v>133</v>
      </c>
      <c r="E20" s="98" t="s">
        <v>1614</v>
      </c>
      <c r="F20" s="69" t="s">
        <v>1466</v>
      </c>
      <c r="G20" s="63">
        <v>46114</v>
      </c>
      <c r="H20" s="65">
        <v>72600</v>
      </c>
      <c r="I20" s="65"/>
      <c r="J20" s="65">
        <f>SUM(Table145[[#This Row],[LC Value]:[Amd Value]])</f>
        <v>72600</v>
      </c>
      <c r="K20" s="65">
        <v>16.5</v>
      </c>
      <c r="L20" s="66">
        <v>4400</v>
      </c>
      <c r="M20" s="99" t="s">
        <v>1209</v>
      </c>
      <c r="N20" s="99" t="s">
        <v>1390</v>
      </c>
      <c r="O20" s="68" t="str">
        <f>IFERROR(_xlfn.XLOOKUP(C20, Data!$A$2:$A$236, Data!$C$2:$C$236), "")</f>
        <v>Mr. Lipu Sir</v>
      </c>
    </row>
    <row r="21" spans="1:15" ht="30" x14ac:dyDescent="0.35">
      <c r="A21" s="41" t="s">
        <v>442</v>
      </c>
      <c r="B21" s="61" t="s">
        <v>1469</v>
      </c>
      <c r="C21" s="60" t="s">
        <v>132</v>
      </c>
      <c r="D21" s="61" t="s">
        <v>133</v>
      </c>
      <c r="E21" s="98" t="s">
        <v>1470</v>
      </c>
      <c r="F21" s="69" t="s">
        <v>416</v>
      </c>
      <c r="G21" s="63">
        <v>46097</v>
      </c>
      <c r="H21" s="65">
        <v>77500</v>
      </c>
      <c r="I21" s="65"/>
      <c r="J21" s="65">
        <f>SUM(Table145[[#This Row],[LC Value]:[Amd Value]])</f>
        <v>77500</v>
      </c>
      <c r="K21" s="65">
        <v>16.5</v>
      </c>
      <c r="L21" s="66">
        <v>4700</v>
      </c>
      <c r="M21" s="99" t="s">
        <v>1094</v>
      </c>
      <c r="N21" s="99" t="s">
        <v>1256</v>
      </c>
      <c r="O21" s="68" t="str">
        <f>IFERROR(_xlfn.XLOOKUP(C21, Data!$A$2:$A$236, Data!$C$2:$C$236), "")</f>
        <v>Mr. Lipu Sir</v>
      </c>
    </row>
    <row r="22" spans="1:15" ht="30" x14ac:dyDescent="0.35">
      <c r="A22" s="41" t="s">
        <v>435</v>
      </c>
      <c r="B22" s="61" t="s">
        <v>1467</v>
      </c>
      <c r="C22" s="60" t="s">
        <v>132</v>
      </c>
      <c r="D22" s="61" t="s">
        <v>133</v>
      </c>
      <c r="E22" s="98" t="s">
        <v>1468</v>
      </c>
      <c r="F22" s="69" t="s">
        <v>416</v>
      </c>
      <c r="G22" s="63">
        <v>46097</v>
      </c>
      <c r="H22" s="65">
        <v>75900</v>
      </c>
      <c r="I22" s="65"/>
      <c r="J22" s="65">
        <f>SUM(Table145[[#This Row],[LC Value]:[Amd Value]])</f>
        <v>75900</v>
      </c>
      <c r="K22" s="65">
        <v>16.5</v>
      </c>
      <c r="L22" s="66">
        <v>4600</v>
      </c>
      <c r="M22" s="99" t="s">
        <v>1466</v>
      </c>
      <c r="N22" s="99" t="s">
        <v>1390</v>
      </c>
      <c r="O22" s="68" t="str">
        <f>IFERROR(_xlfn.XLOOKUP(C22, Data!$A$2:$A$236, Data!$C$2:$C$236), "")</f>
        <v>Mr. Lipu Sir</v>
      </c>
    </row>
    <row r="23" spans="1:15" ht="30" x14ac:dyDescent="0.35">
      <c r="A23" s="41" t="s">
        <v>432</v>
      </c>
      <c r="B23" s="61" t="s">
        <v>1463</v>
      </c>
      <c r="C23" s="60" t="s">
        <v>132</v>
      </c>
      <c r="D23" s="61" t="s">
        <v>133</v>
      </c>
      <c r="E23" s="98" t="s">
        <v>1464</v>
      </c>
      <c r="F23" s="69" t="s">
        <v>416</v>
      </c>
      <c r="G23" s="63">
        <v>46097</v>
      </c>
      <c r="H23" s="65">
        <v>79200</v>
      </c>
      <c r="I23" s="65"/>
      <c r="J23" s="65">
        <f>SUM(Table145[[#This Row],[LC Value]:[Amd Value]])</f>
        <v>79200</v>
      </c>
      <c r="K23" s="65">
        <v>16.5</v>
      </c>
      <c r="L23" s="66">
        <v>4800</v>
      </c>
      <c r="M23" s="99" t="s">
        <v>1466</v>
      </c>
      <c r="N23" s="99" t="s">
        <v>1272</v>
      </c>
      <c r="O23" s="68" t="str">
        <f>IFERROR(_xlfn.XLOOKUP(C23, Data!$A$2:$A$236, Data!$C$2:$C$236), "")</f>
        <v>Mr. Lipu Sir</v>
      </c>
    </row>
    <row r="24" spans="1:15" ht="30" x14ac:dyDescent="0.35">
      <c r="A24" s="41" t="s">
        <v>429</v>
      </c>
      <c r="B24" s="61" t="s">
        <v>1436</v>
      </c>
      <c r="C24" s="60" t="s">
        <v>200</v>
      </c>
      <c r="D24" s="61" t="s">
        <v>98</v>
      </c>
      <c r="E24" s="98" t="s">
        <v>1437</v>
      </c>
      <c r="F24" s="69" t="s">
        <v>394</v>
      </c>
      <c r="G24" s="63">
        <v>46097</v>
      </c>
      <c r="H24" s="65">
        <v>38150</v>
      </c>
      <c r="I24" s="65"/>
      <c r="J24" s="65">
        <f>SUM(Table145[[#This Row],[LC Value]:[Amd Value]])</f>
        <v>38150</v>
      </c>
      <c r="K24" s="65">
        <v>12</v>
      </c>
      <c r="L24" s="66">
        <v>3150</v>
      </c>
      <c r="M24" s="99" t="s">
        <v>931</v>
      </c>
      <c r="N24" s="99" t="s">
        <v>1263</v>
      </c>
      <c r="O24" s="68" t="str">
        <f>IFERROR(_xlfn.XLOOKUP(C24, Data!$A$2:$A$236, Data!$C$2:$C$236), "")</f>
        <v>MD. Sir</v>
      </c>
    </row>
    <row r="25" spans="1:15" ht="30" x14ac:dyDescent="0.35">
      <c r="A25" s="41" t="s">
        <v>426</v>
      </c>
      <c r="B25" s="61" t="s">
        <v>1309</v>
      </c>
      <c r="C25" s="60" t="s">
        <v>22</v>
      </c>
      <c r="D25" s="61" t="s">
        <v>1312</v>
      </c>
      <c r="E25" s="98" t="s">
        <v>1313</v>
      </c>
      <c r="F25" s="69" t="s">
        <v>394</v>
      </c>
      <c r="G25" s="63">
        <v>46085</v>
      </c>
      <c r="H25" s="65">
        <v>69125</v>
      </c>
      <c r="I25" s="65"/>
      <c r="J25" s="65">
        <f>SUM(Table145[[#This Row],[LC Value]:[Amd Value]])</f>
        <v>69125</v>
      </c>
      <c r="K25" s="65">
        <v>17.5</v>
      </c>
      <c r="L25" s="66">
        <v>3950</v>
      </c>
      <c r="M25" s="99" t="s">
        <v>931</v>
      </c>
      <c r="N25" s="99" t="s">
        <v>1263</v>
      </c>
      <c r="O25" s="68" t="str">
        <f>IFERROR(_xlfn.XLOOKUP(C25, Data!$A$2:$A$236, Data!$C$2:$C$236), "")</f>
        <v>Director Sir</v>
      </c>
    </row>
    <row r="26" spans="1:15" ht="30" x14ac:dyDescent="0.35">
      <c r="A26" s="41" t="s">
        <v>418</v>
      </c>
      <c r="B26" s="61" t="s">
        <v>1305</v>
      </c>
      <c r="C26" s="60" t="s">
        <v>199</v>
      </c>
      <c r="D26" s="61" t="s">
        <v>32</v>
      </c>
      <c r="E26" s="98" t="s">
        <v>1306</v>
      </c>
      <c r="F26" s="69" t="s">
        <v>1292</v>
      </c>
      <c r="G26" s="63">
        <v>46090</v>
      </c>
      <c r="H26" s="65">
        <v>36400</v>
      </c>
      <c r="I26" s="65"/>
      <c r="J26" s="65">
        <f>SUM(Table145[[#This Row],[LC Value]:[Amd Value]])</f>
        <v>36400</v>
      </c>
      <c r="K26" s="65">
        <v>14</v>
      </c>
      <c r="L26" s="66">
        <v>2600</v>
      </c>
      <c r="M26" s="99" t="s">
        <v>878</v>
      </c>
      <c r="N26" s="99" t="s">
        <v>956</v>
      </c>
      <c r="O26" s="68" t="str">
        <f>IFERROR(_xlfn.XLOOKUP(C26, Data!$A$2:$A$236, Data!$C$2:$C$236), "")</f>
        <v>MD. Sir</v>
      </c>
    </row>
    <row r="27" spans="1:15" ht="30" x14ac:dyDescent="0.35">
      <c r="A27" s="41" t="s">
        <v>409</v>
      </c>
      <c r="B27" s="61" t="s">
        <v>1067</v>
      </c>
      <c r="C27" s="60" t="s">
        <v>200</v>
      </c>
      <c r="D27" s="61" t="s">
        <v>79</v>
      </c>
      <c r="E27" s="98" t="s">
        <v>1068</v>
      </c>
      <c r="F27" s="69" t="s">
        <v>361</v>
      </c>
      <c r="G27" s="63">
        <v>46072</v>
      </c>
      <c r="H27" s="65">
        <v>8800</v>
      </c>
      <c r="I27" s="65"/>
      <c r="J27" s="65">
        <f>SUM(Table145[[#This Row],[LC Value]:[Amd Value]])</f>
        <v>8800</v>
      </c>
      <c r="K27" s="65">
        <v>16</v>
      </c>
      <c r="L27" s="66">
        <v>550</v>
      </c>
      <c r="M27" s="99" t="s">
        <v>718</v>
      </c>
      <c r="N27" s="99" t="s">
        <v>782</v>
      </c>
      <c r="O27" s="68" t="str">
        <f>IFERROR(_xlfn.XLOOKUP(C27, Data!$A$2:$A$236, Data!$C$2:$C$236), "")</f>
        <v>MD. Sir</v>
      </c>
    </row>
    <row r="28" spans="1:15" ht="30" x14ac:dyDescent="0.35">
      <c r="A28" s="41" t="s">
        <v>406</v>
      </c>
      <c r="B28" s="61" t="s">
        <v>984</v>
      </c>
      <c r="C28" s="60" t="s">
        <v>200</v>
      </c>
      <c r="D28" s="61" t="s">
        <v>79</v>
      </c>
      <c r="E28" s="98" t="s">
        <v>985</v>
      </c>
      <c r="F28" s="69" t="s">
        <v>961</v>
      </c>
      <c r="G28" s="63">
        <v>46070</v>
      </c>
      <c r="H28" s="65">
        <v>53600</v>
      </c>
      <c r="I28" s="65"/>
      <c r="J28" s="65">
        <f>SUM(Table145[[#This Row],[LC Value]:[Amd Value]])</f>
        <v>53600</v>
      </c>
      <c r="K28" s="65">
        <v>16</v>
      </c>
      <c r="L28" s="66">
        <v>3350</v>
      </c>
      <c r="M28" s="99" t="s">
        <v>722</v>
      </c>
      <c r="N28" s="99" t="s">
        <v>783</v>
      </c>
      <c r="O28" s="68" t="str">
        <f>IFERROR(_xlfn.XLOOKUP(C28, Data!$A$2:$A$236, Data!$C$2:$C$236), "")</f>
        <v>MD. Sir</v>
      </c>
    </row>
    <row r="29" spans="1:15" ht="30" x14ac:dyDescent="0.35">
      <c r="A29" s="41" t="s">
        <v>389</v>
      </c>
      <c r="B29" s="61" t="s">
        <v>959</v>
      </c>
      <c r="C29" s="60" t="s">
        <v>200</v>
      </c>
      <c r="D29" s="61" t="s">
        <v>98</v>
      </c>
      <c r="E29" s="98" t="s">
        <v>960</v>
      </c>
      <c r="F29" s="69" t="s">
        <v>961</v>
      </c>
      <c r="G29" s="63">
        <v>46062</v>
      </c>
      <c r="H29" s="65">
        <v>26000</v>
      </c>
      <c r="I29" s="65"/>
      <c r="J29" s="65">
        <f>SUM(Table145[[#This Row],[LC Value]:[Amd Value]])</f>
        <v>26000</v>
      </c>
      <c r="K29" s="65">
        <v>13</v>
      </c>
      <c r="L29" s="66">
        <v>2000</v>
      </c>
      <c r="M29" s="99" t="s">
        <v>722</v>
      </c>
      <c r="N29" s="99" t="s">
        <v>783</v>
      </c>
      <c r="O29" s="68" t="str">
        <f>IFERROR(_xlfn.XLOOKUP(C29, Data!$A$2:$A$236, Data!$C$2:$C$236), "")</f>
        <v>MD. Sir</v>
      </c>
    </row>
    <row r="30" spans="1:15" ht="45" x14ac:dyDescent="0.35">
      <c r="A30" s="100" t="s">
        <v>386</v>
      </c>
      <c r="B30" s="61" t="s">
        <v>917</v>
      </c>
      <c r="C30" s="60" t="s">
        <v>199</v>
      </c>
      <c r="D30" s="61" t="s">
        <v>353</v>
      </c>
      <c r="E30" s="98" t="s">
        <v>918</v>
      </c>
      <c r="F30" s="69" t="s">
        <v>919</v>
      </c>
      <c r="G30" s="63">
        <v>46056</v>
      </c>
      <c r="H30" s="65">
        <v>10200</v>
      </c>
      <c r="I30" s="65"/>
      <c r="J30" s="65">
        <f>SUM(Table145[[#This Row],[LC Value]:[Amd Value]])</f>
        <v>10200</v>
      </c>
      <c r="K30" s="65">
        <v>12</v>
      </c>
      <c r="L30" s="66">
        <v>850</v>
      </c>
      <c r="M30" s="99" t="s">
        <v>609</v>
      </c>
      <c r="N30" s="99" t="s">
        <v>714</v>
      </c>
      <c r="O30" s="68" t="str">
        <f>IFERROR(_xlfn.XLOOKUP(C30, Data!$A$2:$A$236, Data!$C$2:$C$236), "")</f>
        <v>MD. Sir</v>
      </c>
    </row>
    <row r="31" spans="1:15" ht="30" x14ac:dyDescent="0.35">
      <c r="A31" s="59" t="s">
        <v>383</v>
      </c>
      <c r="B31" s="61" t="s">
        <v>857</v>
      </c>
      <c r="C31" s="60" t="s">
        <v>200</v>
      </c>
      <c r="D31" s="61" t="s">
        <v>98</v>
      </c>
      <c r="E31" s="98" t="s">
        <v>858</v>
      </c>
      <c r="F31" s="69" t="s">
        <v>818</v>
      </c>
      <c r="G31" s="63">
        <v>46055</v>
      </c>
      <c r="H31" s="65">
        <v>88000</v>
      </c>
      <c r="I31" s="65"/>
      <c r="J31" s="65">
        <f>SUM(Table145[[#This Row],[LC Value]:[Amd Value]])</f>
        <v>88000</v>
      </c>
      <c r="K31" s="65">
        <v>16</v>
      </c>
      <c r="L31" s="66">
        <v>5500</v>
      </c>
      <c r="M31" s="99" t="s">
        <v>523</v>
      </c>
      <c r="N31" s="99" t="s">
        <v>627</v>
      </c>
      <c r="O31" s="68" t="str">
        <f>IFERROR(_xlfn.XLOOKUP(C31, Data!$A$2:$A$236, Data!$C$2:$C$236), "")</f>
        <v>MD. Sir</v>
      </c>
    </row>
    <row r="32" spans="1:15" ht="30" x14ac:dyDescent="0.35">
      <c r="A32" s="59" t="s">
        <v>380</v>
      </c>
      <c r="B32" s="61" t="s">
        <v>841</v>
      </c>
      <c r="C32" s="60" t="s">
        <v>200</v>
      </c>
      <c r="D32" s="61" t="s">
        <v>32</v>
      </c>
      <c r="E32" s="98" t="s">
        <v>842</v>
      </c>
      <c r="F32" s="69" t="s">
        <v>818</v>
      </c>
      <c r="G32" s="63">
        <v>46058</v>
      </c>
      <c r="H32" s="65">
        <v>12000</v>
      </c>
      <c r="I32" s="65"/>
      <c r="J32" s="65">
        <f>SUM(Table145[[#This Row],[LC Value]:[Amd Value]])</f>
        <v>12000</v>
      </c>
      <c r="K32" s="65">
        <v>15</v>
      </c>
      <c r="L32" s="66">
        <v>800</v>
      </c>
      <c r="M32" s="99" t="s">
        <v>823</v>
      </c>
      <c r="N32" s="99" t="s">
        <v>843</v>
      </c>
      <c r="O32" s="68" t="str">
        <f>IFERROR(_xlfn.XLOOKUP(C32, Data!$A$2:$A$236, Data!$C$2:$C$236), "")</f>
        <v>MD. Sir</v>
      </c>
    </row>
    <row r="33" spans="1:15" ht="30" x14ac:dyDescent="0.35">
      <c r="A33" s="59" t="s">
        <v>374</v>
      </c>
      <c r="B33" s="61" t="s">
        <v>837</v>
      </c>
      <c r="C33" s="60" t="s">
        <v>199</v>
      </c>
      <c r="D33" s="61" t="s">
        <v>32</v>
      </c>
      <c r="E33" s="98" t="s">
        <v>838</v>
      </c>
      <c r="F33" s="69" t="s">
        <v>818</v>
      </c>
      <c r="G33" s="63">
        <v>46055</v>
      </c>
      <c r="H33" s="65">
        <v>7500</v>
      </c>
      <c r="I33" s="65"/>
      <c r="J33" s="65">
        <f>SUM(Table145[[#This Row],[LC Value]:[Amd Value]])</f>
        <v>7500</v>
      </c>
      <c r="K33" s="65">
        <v>15</v>
      </c>
      <c r="L33" s="66">
        <v>500</v>
      </c>
      <c r="M33" s="99" t="s">
        <v>836</v>
      </c>
      <c r="N33" s="99" t="s">
        <v>835</v>
      </c>
      <c r="O33" s="68" t="str">
        <f>IFERROR(_xlfn.XLOOKUP(C33, Data!$A$2:$A$236, Data!$C$2:$C$236), "")</f>
        <v>MD. Sir</v>
      </c>
    </row>
    <row r="34" spans="1:15" ht="45" x14ac:dyDescent="0.35">
      <c r="A34" s="59" t="s">
        <v>372</v>
      </c>
      <c r="B34" s="61" t="s">
        <v>762</v>
      </c>
      <c r="C34" s="60" t="s">
        <v>22</v>
      </c>
      <c r="D34" s="61" t="s">
        <v>23</v>
      </c>
      <c r="E34" s="98" t="s">
        <v>763</v>
      </c>
      <c r="F34" s="69" t="s">
        <v>761</v>
      </c>
      <c r="G34" s="63">
        <v>46047</v>
      </c>
      <c r="H34" s="65">
        <v>65550</v>
      </c>
      <c r="I34" s="65"/>
      <c r="J34" s="65">
        <f>SUM(Table145[[#This Row],[LC Value]:[Amd Value]])</f>
        <v>65550</v>
      </c>
      <c r="K34" s="65">
        <v>17.25</v>
      </c>
      <c r="L34" s="66">
        <v>3800</v>
      </c>
      <c r="M34" s="99" t="s">
        <v>676</v>
      </c>
      <c r="N34" s="99" t="s">
        <v>449</v>
      </c>
      <c r="O34" s="68" t="str">
        <f>IFERROR(_xlfn.XLOOKUP(C34, Data!$A$2:$A$236, Data!$C$2:$C$236), "")</f>
        <v>Director Sir</v>
      </c>
    </row>
    <row r="35" spans="1:15" ht="30" x14ac:dyDescent="0.35">
      <c r="A35" s="59" t="s">
        <v>370</v>
      </c>
      <c r="B35" s="61" t="s">
        <v>693</v>
      </c>
      <c r="C35" s="60" t="s">
        <v>199</v>
      </c>
      <c r="D35" s="61" t="s">
        <v>98</v>
      </c>
      <c r="E35" s="98" t="s">
        <v>694</v>
      </c>
      <c r="F35" s="69" t="s">
        <v>661</v>
      </c>
      <c r="G35" s="63">
        <v>46047</v>
      </c>
      <c r="H35" s="65">
        <v>16200</v>
      </c>
      <c r="I35" s="65"/>
      <c r="J35" s="65">
        <f>SUM(Table145[[#This Row],[LC Value]:[Amd Value]])</f>
        <v>16200</v>
      </c>
      <c r="K35" s="65">
        <v>12</v>
      </c>
      <c r="L35" s="66">
        <v>1350</v>
      </c>
      <c r="M35" s="99" t="s">
        <v>591</v>
      </c>
      <c r="N35" s="99" t="s">
        <v>577</v>
      </c>
      <c r="O35" s="68" t="str">
        <f>IFERROR(_xlfn.XLOOKUP(C35, Data!$A$2:$A$236, Data!$C$2:$C$236), "")</f>
        <v>MD. Sir</v>
      </c>
    </row>
    <row r="36" spans="1:15" ht="30" x14ac:dyDescent="0.35">
      <c r="A36" s="59" t="s">
        <v>368</v>
      </c>
      <c r="B36" s="61" t="s">
        <v>688</v>
      </c>
      <c r="C36" s="60" t="s">
        <v>200</v>
      </c>
      <c r="D36" s="61" t="s">
        <v>98</v>
      </c>
      <c r="E36" s="98" t="s">
        <v>689</v>
      </c>
      <c r="F36" s="69" t="s">
        <v>690</v>
      </c>
      <c r="G36" s="63">
        <v>46047</v>
      </c>
      <c r="H36" s="65">
        <v>88550</v>
      </c>
      <c r="I36" s="65"/>
      <c r="J36" s="65">
        <f>SUM(Table145[[#This Row],[LC Value]:[Amd Value]])</f>
        <v>88550</v>
      </c>
      <c r="K36" s="65">
        <v>11</v>
      </c>
      <c r="L36" s="66">
        <v>8050</v>
      </c>
      <c r="M36" s="99" t="s">
        <v>692</v>
      </c>
      <c r="N36" s="99" t="s">
        <v>691</v>
      </c>
      <c r="O36" s="68" t="str">
        <f>IFERROR(_xlfn.XLOOKUP(C36, Data!$A$2:$A$236, Data!$C$2:$C$236), "")</f>
        <v>MD. Sir</v>
      </c>
    </row>
    <row r="37" spans="1:15" ht="30" x14ac:dyDescent="0.35">
      <c r="A37" s="59" t="s">
        <v>364</v>
      </c>
      <c r="B37" s="61" t="s">
        <v>684</v>
      </c>
      <c r="C37" s="60" t="s">
        <v>199</v>
      </c>
      <c r="D37" s="61" t="s">
        <v>98</v>
      </c>
      <c r="E37" s="98" t="s">
        <v>685</v>
      </c>
      <c r="F37" s="69" t="s">
        <v>661</v>
      </c>
      <c r="G37" s="63">
        <v>46043</v>
      </c>
      <c r="H37" s="65">
        <v>24700</v>
      </c>
      <c r="I37" s="65"/>
      <c r="J37" s="65">
        <f>SUM(Table145[[#This Row],[LC Value]:[Amd Value]])</f>
        <v>24700</v>
      </c>
      <c r="K37" s="65">
        <v>13</v>
      </c>
      <c r="L37" s="66">
        <v>1900</v>
      </c>
      <c r="M37" s="99" t="s">
        <v>591</v>
      </c>
      <c r="N37" s="99" t="s">
        <v>577</v>
      </c>
      <c r="O37" s="68" t="str">
        <f>IFERROR(_xlfn.XLOOKUP(C37, Data!$A$2:$A$236, Data!$C$2:$C$236), "")</f>
        <v>MD. Sir</v>
      </c>
    </row>
    <row r="38" spans="1:15" ht="45" x14ac:dyDescent="0.35">
      <c r="A38" s="59" t="s">
        <v>351</v>
      </c>
      <c r="B38" s="61" t="s">
        <v>592</v>
      </c>
      <c r="C38" s="60" t="s">
        <v>199</v>
      </c>
      <c r="D38" s="61" t="s">
        <v>353</v>
      </c>
      <c r="E38" s="98" t="s">
        <v>593</v>
      </c>
      <c r="F38" s="69" t="s">
        <v>594</v>
      </c>
      <c r="G38" s="63">
        <v>46042</v>
      </c>
      <c r="H38" s="65">
        <v>15000</v>
      </c>
      <c r="I38" s="65"/>
      <c r="J38" s="65">
        <f>SUM(Table145[[#This Row],[LC Value]:[Amd Value]])</f>
        <v>15000</v>
      </c>
      <c r="K38" s="65">
        <v>12</v>
      </c>
      <c r="L38" s="66">
        <v>1250</v>
      </c>
      <c r="M38" s="99" t="s">
        <v>591</v>
      </c>
      <c r="N38" s="99" t="s">
        <v>577</v>
      </c>
      <c r="O38" s="68" t="str">
        <f>IFERROR(_xlfn.XLOOKUP(C38, Data!$A$2:$A$236, Data!$C$2:$C$236), "")</f>
        <v>MD. Sir</v>
      </c>
    </row>
    <row r="39" spans="1:15" ht="30" x14ac:dyDescent="0.35">
      <c r="A39" s="59" t="s">
        <v>346</v>
      </c>
      <c r="B39" s="61" t="s">
        <v>396</v>
      </c>
      <c r="C39" s="60" t="s">
        <v>200</v>
      </c>
      <c r="D39" s="61" t="s">
        <v>98</v>
      </c>
      <c r="E39" s="98" t="s">
        <v>397</v>
      </c>
      <c r="F39" s="69" t="s">
        <v>367</v>
      </c>
      <c r="G39" s="63">
        <v>46027</v>
      </c>
      <c r="H39" s="65">
        <v>16250</v>
      </c>
      <c r="I39" s="65"/>
      <c r="J39" s="65">
        <f>SUM(Table145[[#This Row],[LC Value]:[Amd Value]])</f>
        <v>16250</v>
      </c>
      <c r="K39" s="65">
        <v>13</v>
      </c>
      <c r="L39" s="66">
        <v>1250</v>
      </c>
      <c r="M39" s="99" t="s">
        <v>395</v>
      </c>
      <c r="N39" s="99" t="s">
        <v>394</v>
      </c>
      <c r="O39" s="68" t="str">
        <f>IFERROR(_xlfn.XLOOKUP(C39, Data!$A$2:$A$236, Data!$C$2:$C$236), "")</f>
        <v>MD. Sir</v>
      </c>
    </row>
    <row r="40" spans="1:15" ht="45" x14ac:dyDescent="0.35">
      <c r="A40" s="59" t="s">
        <v>341</v>
      </c>
      <c r="B40" s="61" t="s">
        <v>392</v>
      </c>
      <c r="C40" s="60" t="s">
        <v>200</v>
      </c>
      <c r="D40" s="61" t="s">
        <v>135</v>
      </c>
      <c r="E40" s="98" t="s">
        <v>393</v>
      </c>
      <c r="F40" s="62" t="s">
        <v>367</v>
      </c>
      <c r="G40" s="63">
        <v>46035</v>
      </c>
      <c r="H40" s="65">
        <v>32250</v>
      </c>
      <c r="I40" s="65"/>
      <c r="J40" s="65">
        <f>SUM(Table145[[#This Row],[LC Value]:[Amd Value]])</f>
        <v>32250</v>
      </c>
      <c r="K40" s="65">
        <v>15</v>
      </c>
      <c r="L40" s="66">
        <v>2150</v>
      </c>
      <c r="M40" s="99" t="s">
        <v>395</v>
      </c>
      <c r="N40" s="99" t="s">
        <v>394</v>
      </c>
      <c r="O40" s="68" t="str">
        <f>IFERROR(_xlfn.XLOOKUP(C40, Data!$A$2:$A$236, Data!$C$2:$C$236), "")</f>
        <v>MD. Sir</v>
      </c>
    </row>
    <row r="41" spans="1:15" x14ac:dyDescent="0.35">
      <c r="A41" s="59"/>
      <c r="B41" s="61"/>
      <c r="C41" s="61"/>
      <c r="D41" s="61"/>
      <c r="E41" s="59"/>
      <c r="F41" s="102"/>
      <c r="G41" s="62"/>
      <c r="H41" s="65"/>
      <c r="I41" s="65"/>
      <c r="J41" s="103"/>
      <c r="K41" s="65"/>
      <c r="L41" s="66"/>
      <c r="M41" s="104"/>
      <c r="N41" s="104"/>
      <c r="O41" s="68"/>
    </row>
    <row r="42" spans="1:15" x14ac:dyDescent="0.35">
      <c r="A42" s="59"/>
      <c r="B42" s="61"/>
      <c r="C42" s="61"/>
      <c r="D42" s="61"/>
      <c r="E42" s="59"/>
      <c r="F42" s="102"/>
      <c r="G42" s="62"/>
      <c r="H42" s="65"/>
      <c r="I42" s="65"/>
      <c r="J42" s="103"/>
      <c r="K42" s="65"/>
      <c r="L42" s="66"/>
      <c r="M42" s="104"/>
      <c r="N42" s="104"/>
      <c r="O42" s="68"/>
    </row>
    <row r="43" spans="1:15" x14ac:dyDescent="0.35">
      <c r="A43" s="59"/>
      <c r="B43" s="61"/>
      <c r="C43" s="61"/>
      <c r="D43" s="61"/>
      <c r="E43" s="59"/>
      <c r="F43" s="102"/>
      <c r="G43" s="62"/>
      <c r="H43" s="65"/>
      <c r="I43" s="65"/>
      <c r="J43" s="103"/>
      <c r="K43" s="65"/>
      <c r="L43" s="66"/>
      <c r="M43" s="104"/>
      <c r="N43" s="104"/>
      <c r="O43" s="68"/>
    </row>
    <row r="44" spans="1:15" x14ac:dyDescent="0.35">
      <c r="A44" s="59"/>
      <c r="B44" s="61"/>
      <c r="C44" s="61"/>
      <c r="D44" s="61"/>
      <c r="E44" s="59"/>
      <c r="F44" s="102"/>
      <c r="G44" s="62"/>
      <c r="H44" s="65"/>
      <c r="I44" s="65"/>
      <c r="J44" s="103"/>
      <c r="K44" s="65"/>
      <c r="L44" s="66"/>
      <c r="M44" s="104"/>
      <c r="N44" s="104"/>
      <c r="O44" s="68"/>
    </row>
    <row r="45" spans="1:15" x14ac:dyDescent="0.35">
      <c r="A45" s="59"/>
      <c r="B45" s="61"/>
      <c r="C45" s="61"/>
      <c r="D45" s="61"/>
      <c r="E45" s="59"/>
      <c r="F45" s="102"/>
      <c r="G45" s="62"/>
      <c r="H45" s="65"/>
      <c r="I45" s="65"/>
      <c r="J45" s="103"/>
      <c r="K45" s="65"/>
      <c r="L45" s="66"/>
      <c r="M45" s="104"/>
      <c r="N45" s="104"/>
      <c r="O45" s="68"/>
    </row>
    <row r="46" spans="1:15" x14ac:dyDescent="0.35">
      <c r="A46" s="59"/>
      <c r="B46" s="61"/>
      <c r="C46" s="61"/>
      <c r="D46" s="61"/>
      <c r="E46" s="59"/>
      <c r="F46" s="102"/>
      <c r="G46" s="62"/>
      <c r="H46" s="65"/>
      <c r="I46" s="65"/>
      <c r="J46" s="103"/>
      <c r="K46" s="65"/>
      <c r="L46" s="66"/>
      <c r="M46" s="104"/>
      <c r="N46" s="104"/>
      <c r="O46" s="68"/>
    </row>
    <row r="47" spans="1:15" x14ac:dyDescent="0.35">
      <c r="A47" s="59"/>
      <c r="B47" s="61"/>
      <c r="C47" s="61"/>
      <c r="D47" s="61"/>
      <c r="E47" s="59"/>
      <c r="F47" s="102"/>
      <c r="G47" s="62"/>
      <c r="H47" s="65"/>
      <c r="I47" s="65"/>
      <c r="J47" s="103"/>
      <c r="K47" s="65"/>
      <c r="L47" s="66"/>
      <c r="M47" s="104"/>
      <c r="N47" s="104"/>
      <c r="O47" s="68"/>
    </row>
    <row r="48" spans="1:15" x14ac:dyDescent="0.35">
      <c r="A48" s="59"/>
      <c r="B48" s="61"/>
      <c r="C48" s="61"/>
      <c r="D48" s="61"/>
      <c r="E48" s="59"/>
      <c r="F48" s="102"/>
      <c r="G48" s="62"/>
      <c r="H48" s="65"/>
      <c r="I48" s="65"/>
      <c r="J48" s="103"/>
      <c r="K48" s="65"/>
      <c r="L48" s="66"/>
      <c r="M48" s="104"/>
      <c r="N48" s="104"/>
      <c r="O48" s="68"/>
    </row>
    <row r="49" spans="1:15" x14ac:dyDescent="0.35">
      <c r="A49" s="59"/>
      <c r="B49" s="61"/>
      <c r="C49" s="61"/>
      <c r="D49" s="61"/>
      <c r="E49" s="59"/>
      <c r="F49" s="102"/>
      <c r="G49" s="62"/>
      <c r="H49" s="65"/>
      <c r="I49" s="65"/>
      <c r="J49" s="103"/>
      <c r="K49" s="65"/>
      <c r="L49" s="66"/>
      <c r="M49" s="104"/>
      <c r="N49" s="104"/>
      <c r="O49" s="68"/>
    </row>
    <row r="50" spans="1:15" x14ac:dyDescent="0.35">
      <c r="A50" s="59"/>
      <c r="B50" s="61"/>
      <c r="C50" s="61"/>
      <c r="D50" s="61"/>
      <c r="E50" s="59"/>
      <c r="F50" s="102"/>
      <c r="G50" s="62"/>
      <c r="H50" s="65"/>
      <c r="I50" s="65"/>
      <c r="J50" s="103"/>
      <c r="K50" s="65"/>
      <c r="L50" s="66"/>
      <c r="M50" s="104"/>
      <c r="N50" s="104"/>
      <c r="O50" s="68"/>
    </row>
    <row r="51" spans="1:15" x14ac:dyDescent="0.35">
      <c r="A51" s="59"/>
      <c r="B51" s="61"/>
      <c r="C51" s="61"/>
      <c r="D51" s="61"/>
      <c r="E51" s="59"/>
      <c r="F51" s="102"/>
      <c r="G51" s="62"/>
      <c r="H51" s="65"/>
      <c r="I51" s="65"/>
      <c r="J51" s="103"/>
      <c r="K51" s="65"/>
      <c r="L51" s="66"/>
      <c r="M51" s="104"/>
      <c r="N51" s="104"/>
      <c r="O51" s="68"/>
    </row>
    <row r="52" spans="1:15" x14ac:dyDescent="0.35">
      <c r="A52" s="59"/>
      <c r="B52" s="61"/>
      <c r="C52" s="61"/>
      <c r="D52" s="61"/>
      <c r="E52" s="59"/>
      <c r="F52" s="102"/>
      <c r="G52" s="62"/>
      <c r="H52" s="65"/>
      <c r="I52" s="65"/>
      <c r="J52" s="103"/>
      <c r="K52" s="65"/>
      <c r="L52" s="66"/>
      <c r="M52" s="104"/>
      <c r="N52" s="104"/>
      <c r="O52" s="68"/>
    </row>
    <row r="53" spans="1:15" x14ac:dyDescent="0.35">
      <c r="A53" s="59"/>
      <c r="B53" s="61"/>
      <c r="C53" s="61"/>
      <c r="D53" s="61"/>
      <c r="E53" s="59"/>
      <c r="F53" s="102"/>
      <c r="G53" s="62"/>
      <c r="H53" s="65"/>
      <c r="I53" s="65"/>
      <c r="J53" s="103"/>
      <c r="K53" s="65"/>
      <c r="L53" s="66"/>
      <c r="M53" s="104"/>
      <c r="N53" s="104"/>
      <c r="O53" s="68"/>
    </row>
    <row r="54" spans="1:15" x14ac:dyDescent="0.35">
      <c r="A54" s="59"/>
      <c r="B54" s="61"/>
      <c r="C54" s="61"/>
      <c r="D54" s="61"/>
      <c r="E54" s="59"/>
      <c r="F54" s="102"/>
      <c r="G54" s="62"/>
      <c r="H54" s="65"/>
      <c r="I54" s="65"/>
      <c r="J54" s="103"/>
      <c r="K54" s="65"/>
      <c r="L54" s="66"/>
      <c r="M54" s="104"/>
      <c r="N54" s="104"/>
      <c r="O54" s="68"/>
    </row>
    <row r="55" spans="1:15" x14ac:dyDescent="0.35">
      <c r="A55" s="59"/>
      <c r="B55" s="61"/>
      <c r="C55" s="61"/>
      <c r="D55" s="61"/>
      <c r="E55" s="59"/>
      <c r="F55" s="102"/>
      <c r="G55" s="62"/>
      <c r="H55" s="65"/>
      <c r="I55" s="65"/>
      <c r="J55" s="103"/>
      <c r="K55" s="65"/>
      <c r="L55" s="66"/>
      <c r="M55" s="104"/>
      <c r="N55" s="104"/>
      <c r="O55" s="68"/>
    </row>
    <row r="56" spans="1:15" x14ac:dyDescent="0.35">
      <c r="A56" s="59"/>
      <c r="B56" s="61"/>
      <c r="C56" s="61"/>
      <c r="D56" s="61"/>
      <c r="E56" s="59"/>
      <c r="F56" s="102"/>
      <c r="G56" s="62"/>
      <c r="H56" s="65"/>
      <c r="I56" s="65"/>
      <c r="J56" s="103"/>
      <c r="K56" s="65"/>
      <c r="L56" s="66"/>
      <c r="M56" s="104"/>
      <c r="N56" s="104"/>
      <c r="O56" s="68"/>
    </row>
    <row r="57" spans="1:15" x14ac:dyDescent="0.35">
      <c r="A57" s="59"/>
      <c r="B57" s="61"/>
      <c r="C57" s="61"/>
      <c r="D57" s="61"/>
      <c r="E57" s="59"/>
      <c r="F57" s="102"/>
      <c r="G57" s="62"/>
      <c r="H57" s="65"/>
      <c r="I57" s="65"/>
      <c r="J57" s="103"/>
      <c r="K57" s="65"/>
      <c r="L57" s="66"/>
      <c r="M57" s="104"/>
      <c r="N57" s="104"/>
      <c r="O57" s="68"/>
    </row>
    <row r="58" spans="1:15" x14ac:dyDescent="0.35">
      <c r="A58" s="59"/>
      <c r="B58" s="61"/>
      <c r="C58" s="61"/>
      <c r="D58" s="61"/>
      <c r="E58" s="59"/>
      <c r="F58" s="102"/>
      <c r="G58" s="62"/>
      <c r="H58" s="65"/>
      <c r="I58" s="65"/>
      <c r="J58" s="103"/>
      <c r="K58" s="65"/>
      <c r="L58" s="66"/>
      <c r="M58" s="104"/>
      <c r="N58" s="104"/>
      <c r="O58" s="68"/>
    </row>
    <row r="59" spans="1:15" x14ac:dyDescent="0.35">
      <c r="A59" s="59"/>
      <c r="B59" s="61"/>
      <c r="C59" s="61"/>
      <c r="D59" s="61"/>
      <c r="E59" s="59"/>
      <c r="F59" s="102"/>
      <c r="G59" s="62"/>
      <c r="H59" s="65"/>
      <c r="I59" s="65"/>
      <c r="J59" s="103"/>
      <c r="K59" s="65"/>
      <c r="L59" s="66"/>
      <c r="M59" s="104"/>
      <c r="N59" s="104"/>
      <c r="O59" s="68"/>
    </row>
    <row r="60" spans="1:15" x14ac:dyDescent="0.35">
      <c r="A60" s="59"/>
      <c r="B60" s="61"/>
      <c r="C60" s="61"/>
      <c r="D60" s="61"/>
      <c r="E60" s="59"/>
      <c r="F60" s="102"/>
      <c r="G60" s="62"/>
      <c r="H60" s="65"/>
      <c r="I60" s="65"/>
      <c r="J60" s="103"/>
      <c r="K60" s="65"/>
      <c r="L60" s="66"/>
      <c r="M60" s="104"/>
      <c r="N60" s="104"/>
      <c r="O60" s="68"/>
    </row>
    <row r="61" spans="1:15" x14ac:dyDescent="0.35">
      <c r="A61" s="59"/>
      <c r="B61" s="61"/>
      <c r="C61" s="61"/>
      <c r="D61" s="61"/>
      <c r="E61" s="59"/>
      <c r="F61" s="102"/>
      <c r="G61" s="62"/>
      <c r="H61" s="65"/>
      <c r="I61" s="65"/>
      <c r="J61" s="103"/>
      <c r="K61" s="65"/>
      <c r="L61" s="66"/>
      <c r="M61" s="104"/>
      <c r="N61" s="104"/>
      <c r="O61" s="68"/>
    </row>
    <row r="62" spans="1:15" x14ac:dyDescent="0.35">
      <c r="A62" s="59"/>
      <c r="B62" s="61"/>
      <c r="C62" s="61"/>
      <c r="D62" s="61"/>
      <c r="E62" s="59"/>
      <c r="F62" s="102"/>
      <c r="G62" s="62"/>
      <c r="H62" s="65"/>
      <c r="I62" s="65"/>
      <c r="J62" s="103"/>
      <c r="K62" s="65"/>
      <c r="L62" s="66"/>
      <c r="M62" s="104"/>
      <c r="N62" s="104"/>
      <c r="O62" s="68"/>
    </row>
    <row r="63" spans="1:15" x14ac:dyDescent="0.35">
      <c r="A63" s="59"/>
      <c r="B63" s="61"/>
      <c r="C63" s="61"/>
      <c r="D63" s="61"/>
      <c r="E63" s="59"/>
      <c r="F63" s="102"/>
      <c r="G63" s="62"/>
      <c r="H63" s="65"/>
      <c r="I63" s="65"/>
      <c r="J63" s="103"/>
      <c r="K63" s="65"/>
      <c r="L63" s="66"/>
      <c r="M63" s="104"/>
      <c r="N63" s="104"/>
      <c r="O63" s="68"/>
    </row>
    <row r="64" spans="1:15" x14ac:dyDescent="0.35">
      <c r="A64" s="59"/>
      <c r="B64" s="61"/>
      <c r="C64" s="61"/>
      <c r="D64" s="61"/>
      <c r="E64" s="59"/>
      <c r="F64" s="102"/>
      <c r="G64" s="62"/>
      <c r="H64" s="65"/>
      <c r="I64" s="65"/>
      <c r="J64" s="103"/>
      <c r="K64" s="65"/>
      <c r="L64" s="66"/>
      <c r="M64" s="104"/>
      <c r="N64" s="104"/>
      <c r="O64" s="68"/>
    </row>
    <row r="65" spans="1:15" x14ac:dyDescent="0.35">
      <c r="A65" s="59"/>
      <c r="B65" s="61"/>
      <c r="C65" s="61"/>
      <c r="D65" s="61"/>
      <c r="E65" s="59"/>
      <c r="F65" s="102"/>
      <c r="G65" s="62"/>
      <c r="H65" s="65"/>
      <c r="I65" s="65"/>
      <c r="J65" s="103"/>
      <c r="K65" s="65"/>
      <c r="L65" s="66"/>
      <c r="M65" s="104"/>
      <c r="N65" s="104"/>
      <c r="O65" s="68"/>
    </row>
    <row r="66" spans="1:15" x14ac:dyDescent="0.35">
      <c r="A66" s="59"/>
      <c r="B66" s="61"/>
      <c r="C66" s="61"/>
      <c r="D66" s="61"/>
      <c r="E66" s="59"/>
      <c r="F66" s="102"/>
      <c r="G66" s="62"/>
      <c r="H66" s="65"/>
      <c r="I66" s="65"/>
      <c r="J66" s="103"/>
      <c r="K66" s="65"/>
      <c r="L66" s="66"/>
      <c r="M66" s="104"/>
      <c r="N66" s="104"/>
      <c r="O66" s="68"/>
    </row>
    <row r="67" spans="1:15" x14ac:dyDescent="0.35">
      <c r="A67" s="59"/>
      <c r="B67" s="61"/>
      <c r="C67" s="61"/>
      <c r="D67" s="61"/>
      <c r="E67" s="59"/>
      <c r="F67" s="102"/>
      <c r="G67" s="62"/>
      <c r="H67" s="65"/>
      <c r="I67" s="65"/>
      <c r="J67" s="103"/>
      <c r="K67" s="65"/>
      <c r="L67" s="66"/>
      <c r="M67" s="104"/>
      <c r="N67" s="104"/>
      <c r="O67" s="68"/>
    </row>
    <row r="68" spans="1:15" x14ac:dyDescent="0.35">
      <c r="A68" s="59"/>
      <c r="B68" s="61"/>
      <c r="C68" s="61"/>
      <c r="D68" s="61"/>
      <c r="E68" s="59"/>
      <c r="F68" s="102"/>
      <c r="G68" s="62"/>
      <c r="H68" s="65"/>
      <c r="I68" s="65"/>
      <c r="J68" s="103"/>
      <c r="K68" s="65"/>
      <c r="L68" s="66"/>
      <c r="M68" s="104"/>
      <c r="N68" s="104"/>
      <c r="O68" s="68"/>
    </row>
    <row r="69" spans="1:15" x14ac:dyDescent="0.35">
      <c r="A69" s="59"/>
      <c r="B69" s="61"/>
      <c r="C69" s="61"/>
      <c r="D69" s="61"/>
      <c r="E69" s="59"/>
      <c r="F69" s="102"/>
      <c r="G69" s="62"/>
      <c r="H69" s="65"/>
      <c r="I69" s="65"/>
      <c r="J69" s="103"/>
      <c r="K69" s="65"/>
      <c r="L69" s="66"/>
      <c r="M69" s="104"/>
      <c r="N69" s="104"/>
      <c r="O69" s="68"/>
    </row>
    <row r="70" spans="1:15" x14ac:dyDescent="0.35">
      <c r="A70" s="59"/>
      <c r="B70" s="61"/>
      <c r="C70" s="61"/>
      <c r="D70" s="61"/>
      <c r="E70" s="59"/>
      <c r="F70" s="102"/>
      <c r="G70" s="62"/>
      <c r="H70" s="65"/>
      <c r="I70" s="65"/>
      <c r="J70" s="103"/>
      <c r="K70" s="65"/>
      <c r="L70" s="66"/>
      <c r="M70" s="104"/>
      <c r="N70" s="104"/>
      <c r="O70" s="68"/>
    </row>
    <row r="71" spans="1:15" x14ac:dyDescent="0.35">
      <c r="A71" s="59"/>
      <c r="B71" s="61"/>
      <c r="C71" s="61"/>
      <c r="D71" s="61"/>
      <c r="E71" s="59"/>
      <c r="F71" s="102"/>
      <c r="G71" s="62"/>
      <c r="H71" s="65"/>
      <c r="I71" s="65"/>
      <c r="J71" s="103"/>
      <c r="K71" s="65"/>
      <c r="L71" s="66"/>
      <c r="M71" s="104"/>
      <c r="N71" s="104"/>
      <c r="O71" s="68"/>
    </row>
    <row r="72" spans="1:15" x14ac:dyDescent="0.35">
      <c r="A72" s="59"/>
      <c r="B72" s="61"/>
      <c r="C72" s="61"/>
      <c r="D72" s="61"/>
      <c r="E72" s="59"/>
      <c r="F72" s="102"/>
      <c r="G72" s="62"/>
      <c r="H72" s="65"/>
      <c r="I72" s="65"/>
      <c r="J72" s="103"/>
      <c r="K72" s="65"/>
      <c r="L72" s="66"/>
      <c r="M72" s="104"/>
      <c r="N72" s="104"/>
      <c r="O72" s="68"/>
    </row>
    <row r="73" spans="1:15" x14ac:dyDescent="0.35">
      <c r="A73" s="59"/>
      <c r="B73" s="61"/>
      <c r="C73" s="61"/>
      <c r="D73" s="61"/>
      <c r="E73" s="59"/>
      <c r="F73" s="102"/>
      <c r="G73" s="62"/>
      <c r="H73" s="65"/>
      <c r="I73" s="65"/>
      <c r="J73" s="103"/>
      <c r="K73" s="65"/>
      <c r="L73" s="66"/>
      <c r="M73" s="104"/>
      <c r="N73" s="104"/>
      <c r="O73" s="68"/>
    </row>
    <row r="74" spans="1:15" x14ac:dyDescent="0.35">
      <c r="A74" s="59"/>
      <c r="B74" s="61"/>
      <c r="C74" s="61"/>
      <c r="D74" s="61"/>
      <c r="E74" s="59"/>
      <c r="F74" s="102"/>
      <c r="G74" s="62"/>
      <c r="H74" s="65"/>
      <c r="I74" s="65"/>
      <c r="J74" s="103"/>
      <c r="K74" s="65"/>
      <c r="L74" s="66"/>
      <c r="M74" s="104"/>
      <c r="N74" s="104"/>
      <c r="O74" s="68"/>
    </row>
    <row r="75" spans="1:15" x14ac:dyDescent="0.35">
      <c r="A75" s="59"/>
      <c r="B75" s="61"/>
      <c r="C75" s="61"/>
      <c r="D75" s="61"/>
      <c r="E75" s="59"/>
      <c r="F75" s="102"/>
      <c r="G75" s="62"/>
      <c r="H75" s="65"/>
      <c r="I75" s="65"/>
      <c r="J75" s="103"/>
      <c r="K75" s="65"/>
      <c r="L75" s="66"/>
      <c r="M75" s="104"/>
      <c r="N75" s="104"/>
      <c r="O75" s="68"/>
    </row>
    <row r="76" spans="1:15" x14ac:dyDescent="0.35">
      <c r="A76" s="59"/>
      <c r="B76" s="61"/>
      <c r="C76" s="61"/>
      <c r="D76" s="61"/>
      <c r="E76" s="59"/>
      <c r="F76" s="102"/>
      <c r="G76" s="62"/>
      <c r="H76" s="65"/>
      <c r="I76" s="65"/>
      <c r="J76" s="103"/>
      <c r="K76" s="65"/>
      <c r="L76" s="66"/>
      <c r="M76" s="104"/>
      <c r="N76" s="104"/>
      <c r="O76" s="68"/>
    </row>
    <row r="77" spans="1:15" x14ac:dyDescent="0.35">
      <c r="A77" s="11"/>
      <c r="B77" s="12"/>
      <c r="C77" s="12"/>
      <c r="D77" s="12"/>
      <c r="E77" s="16"/>
      <c r="F77" s="13"/>
      <c r="G77" s="14"/>
      <c r="H77" s="15"/>
      <c r="I77" s="15"/>
      <c r="J77" s="15"/>
      <c r="K77" s="15"/>
      <c r="L77" s="24"/>
      <c r="M77" s="14"/>
      <c r="N77" s="14"/>
      <c r="O77" s="11"/>
    </row>
    <row r="78" spans="1:15" x14ac:dyDescent="0.35">
      <c r="A78" s="11"/>
      <c r="B78" s="12"/>
      <c r="C78" s="12"/>
      <c r="D78" s="12"/>
      <c r="E78" s="16"/>
      <c r="F78" s="13"/>
      <c r="G78" s="14"/>
      <c r="H78" s="15"/>
      <c r="I78" s="15"/>
      <c r="J78" s="15"/>
      <c r="K78" s="15"/>
      <c r="L78" s="24"/>
      <c r="M78" s="14"/>
      <c r="N78" s="14"/>
      <c r="O78" s="11"/>
    </row>
    <row r="79" spans="1:15" x14ac:dyDescent="0.35">
      <c r="A79" s="11"/>
      <c r="B79" s="12"/>
      <c r="C79" s="12"/>
      <c r="D79" s="12"/>
      <c r="E79" s="16"/>
      <c r="F79" s="13"/>
      <c r="G79" s="14"/>
      <c r="H79" s="15"/>
      <c r="I79" s="15"/>
      <c r="J79" s="15"/>
      <c r="K79" s="15"/>
      <c r="L79" s="24"/>
      <c r="M79" s="14"/>
      <c r="N79" s="14"/>
      <c r="O79" s="11"/>
    </row>
    <row r="80" spans="1:15" x14ac:dyDescent="0.35">
      <c r="A80" s="11"/>
      <c r="B80" s="12"/>
      <c r="C80" s="12"/>
      <c r="D80" s="12"/>
      <c r="E80" s="16"/>
      <c r="F80" s="13"/>
      <c r="G80" s="14"/>
      <c r="H80" s="15"/>
      <c r="I80" s="15"/>
      <c r="J80" s="15"/>
      <c r="K80" s="15"/>
      <c r="L80" s="24"/>
      <c r="M80" s="14"/>
      <c r="N80" s="14"/>
      <c r="O80" s="11"/>
    </row>
    <row r="81" spans="1:15" x14ac:dyDescent="0.35">
      <c r="A81" s="11"/>
      <c r="B81" s="12"/>
      <c r="C81" s="12"/>
      <c r="D81" s="12"/>
      <c r="E81" s="16"/>
      <c r="F81" s="13"/>
      <c r="G81" s="14"/>
      <c r="H81" s="15"/>
      <c r="I81" s="15"/>
      <c r="J81" s="15"/>
      <c r="K81" s="15"/>
      <c r="L81" s="24"/>
      <c r="M81" s="14"/>
      <c r="N81" s="14"/>
      <c r="O81" s="11"/>
    </row>
    <row r="82" spans="1:15" x14ac:dyDescent="0.35">
      <c r="A82" s="11"/>
      <c r="B82" s="12"/>
      <c r="C82" s="12"/>
      <c r="D82" s="12"/>
      <c r="E82" s="16"/>
      <c r="F82" s="13"/>
      <c r="G82" s="14"/>
      <c r="H82" s="15"/>
      <c r="I82" s="15"/>
      <c r="J82" s="15"/>
      <c r="K82" s="15"/>
      <c r="L82" s="24"/>
      <c r="M82" s="14"/>
      <c r="N82" s="14"/>
      <c r="O82" s="11"/>
    </row>
    <row r="83" spans="1:15" x14ac:dyDescent="0.35">
      <c r="A83" s="11"/>
      <c r="B83" s="12"/>
      <c r="C83" s="12"/>
      <c r="D83" s="12"/>
      <c r="E83" s="16"/>
      <c r="F83" s="13"/>
      <c r="G83" s="14"/>
      <c r="H83" s="15"/>
      <c r="I83" s="15"/>
      <c r="J83" s="15"/>
      <c r="K83" s="15"/>
      <c r="L83" s="24"/>
      <c r="M83" s="14"/>
      <c r="N83" s="14"/>
      <c r="O83" s="11"/>
    </row>
    <row r="84" spans="1:15" x14ac:dyDescent="0.35">
      <c r="A84" s="11"/>
      <c r="B84" s="12"/>
      <c r="C84" s="12"/>
      <c r="D84" s="12"/>
      <c r="E84" s="16"/>
      <c r="F84" s="13"/>
      <c r="G84" s="14"/>
      <c r="H84" s="15"/>
      <c r="I84" s="15"/>
      <c r="J84" s="15"/>
      <c r="K84" s="15"/>
      <c r="L84" s="24"/>
      <c r="M84" s="14"/>
      <c r="N84" s="14"/>
      <c r="O84" s="11"/>
    </row>
    <row r="85" spans="1:15" x14ac:dyDescent="0.35">
      <c r="A85" s="11"/>
      <c r="B85" s="12"/>
      <c r="C85" s="12"/>
      <c r="D85" s="12"/>
      <c r="E85" s="16"/>
      <c r="F85" s="13"/>
      <c r="G85" s="14"/>
      <c r="H85" s="15"/>
      <c r="I85" s="15"/>
      <c r="J85" s="15"/>
      <c r="K85" s="15"/>
      <c r="L85" s="24"/>
      <c r="M85" s="14"/>
      <c r="N85" s="14"/>
      <c r="O85" s="11"/>
    </row>
    <row r="86" spans="1:15" x14ac:dyDescent="0.35">
      <c r="A86" s="11"/>
      <c r="B86" s="12"/>
      <c r="C86" s="12"/>
      <c r="D86" s="12"/>
      <c r="E86" s="16"/>
      <c r="F86" s="13"/>
      <c r="G86" s="14"/>
      <c r="H86" s="15"/>
      <c r="I86" s="15"/>
      <c r="J86" s="15"/>
      <c r="K86" s="15"/>
      <c r="L86" s="24"/>
      <c r="M86" s="14"/>
      <c r="N86" s="14"/>
      <c r="O86" s="11"/>
    </row>
    <row r="87" spans="1:15" x14ac:dyDescent="0.35">
      <c r="A87" s="11"/>
      <c r="B87" s="12"/>
      <c r="C87" s="12"/>
      <c r="D87" s="12"/>
      <c r="E87" s="16"/>
      <c r="F87" s="13"/>
      <c r="G87" s="14"/>
      <c r="H87" s="15"/>
      <c r="I87" s="15"/>
      <c r="J87" s="15"/>
      <c r="K87" s="15"/>
      <c r="L87" s="24"/>
      <c r="M87" s="14"/>
      <c r="N87" s="14"/>
      <c r="O87" s="11"/>
    </row>
    <row r="88" spans="1:15" x14ac:dyDescent="0.35">
      <c r="A88" s="11"/>
      <c r="B88" s="12"/>
      <c r="C88" s="12"/>
      <c r="D88" s="12"/>
      <c r="E88" s="16"/>
      <c r="F88" s="13"/>
      <c r="G88" s="14"/>
      <c r="H88" s="15"/>
      <c r="I88" s="15"/>
      <c r="J88" s="15"/>
      <c r="K88" s="15"/>
      <c r="L88" s="24"/>
      <c r="M88" s="14"/>
      <c r="N88" s="14"/>
      <c r="O88" s="11"/>
    </row>
    <row r="89" spans="1:15" x14ac:dyDescent="0.35">
      <c r="A89" s="11"/>
      <c r="B89" s="12"/>
      <c r="C89" s="12"/>
      <c r="D89" s="12"/>
      <c r="E89" s="16"/>
      <c r="F89" s="13"/>
      <c r="G89" s="14"/>
      <c r="H89" s="15"/>
      <c r="I89" s="15"/>
      <c r="J89" s="15"/>
      <c r="K89" s="15"/>
      <c r="L89" s="24"/>
      <c r="M89" s="14"/>
      <c r="N89" s="14"/>
      <c r="O89" s="11"/>
    </row>
    <row r="90" spans="1:15" x14ac:dyDescent="0.35">
      <c r="A90" s="11"/>
      <c r="B90" s="12"/>
      <c r="C90" s="12"/>
      <c r="D90" s="12"/>
      <c r="E90" s="16"/>
      <c r="F90" s="13"/>
      <c r="G90" s="14"/>
      <c r="H90" s="15"/>
      <c r="I90" s="15"/>
      <c r="J90" s="15"/>
      <c r="K90" s="15"/>
      <c r="L90" s="24"/>
      <c r="M90" s="14"/>
      <c r="N90" s="14"/>
      <c r="O90" s="11"/>
    </row>
    <row r="91" spans="1:15" x14ac:dyDescent="0.35">
      <c r="A91" s="11"/>
      <c r="B91" s="12"/>
      <c r="C91" s="12"/>
      <c r="D91" s="12"/>
      <c r="E91" s="16"/>
      <c r="F91" s="13"/>
      <c r="G91" s="14"/>
      <c r="H91" s="15"/>
      <c r="I91" s="15"/>
      <c r="J91" s="15"/>
      <c r="K91" s="15"/>
      <c r="L91" s="24"/>
      <c r="M91" s="14"/>
      <c r="N91" s="14"/>
      <c r="O91" s="11"/>
    </row>
    <row r="92" spans="1:15" x14ac:dyDescent="0.35">
      <c r="A92" s="11"/>
      <c r="B92" s="12"/>
      <c r="C92" s="12"/>
      <c r="D92" s="12"/>
      <c r="E92" s="16"/>
      <c r="F92" s="13"/>
      <c r="G92" s="14"/>
      <c r="H92" s="15"/>
      <c r="I92" s="15"/>
      <c r="J92" s="15"/>
      <c r="K92" s="15"/>
      <c r="L92" s="24"/>
      <c r="M92" s="14"/>
      <c r="N92" s="14"/>
      <c r="O92" s="11"/>
    </row>
    <row r="93" spans="1:15" x14ac:dyDescent="0.35">
      <c r="A93" s="11"/>
      <c r="B93" s="12"/>
      <c r="C93" s="12"/>
      <c r="D93" s="12"/>
      <c r="E93" s="16"/>
      <c r="F93" s="13"/>
      <c r="G93" s="14"/>
      <c r="H93" s="15"/>
      <c r="I93" s="15"/>
      <c r="J93" s="15"/>
      <c r="K93" s="15"/>
      <c r="L93" s="24"/>
      <c r="M93" s="14"/>
      <c r="N93" s="14"/>
      <c r="O93" s="11"/>
    </row>
    <row r="94" spans="1:15" x14ac:dyDescent="0.35">
      <c r="A94" s="11"/>
      <c r="B94" s="12"/>
      <c r="C94" s="12"/>
      <c r="D94" s="12"/>
      <c r="E94" s="16"/>
      <c r="F94" s="13"/>
      <c r="G94" s="14"/>
      <c r="H94" s="15"/>
      <c r="I94" s="15"/>
      <c r="J94" s="15"/>
      <c r="K94" s="15"/>
      <c r="L94" s="24"/>
      <c r="M94" s="14"/>
      <c r="N94" s="14"/>
      <c r="O94" s="11"/>
    </row>
    <row r="95" spans="1:15" x14ac:dyDescent="0.35">
      <c r="A95" s="11"/>
      <c r="B95" s="12"/>
      <c r="C95" s="12"/>
      <c r="D95" s="12"/>
      <c r="E95" s="16"/>
      <c r="F95" s="13"/>
      <c r="G95" s="14"/>
      <c r="H95" s="15"/>
      <c r="I95" s="15"/>
      <c r="J95" s="15"/>
      <c r="K95" s="15"/>
      <c r="L95" s="24"/>
      <c r="M95" s="14"/>
      <c r="N95" s="14"/>
      <c r="O95" s="11"/>
    </row>
    <row r="96" spans="1:15" x14ac:dyDescent="0.35">
      <c r="A96" s="11"/>
      <c r="B96" s="12"/>
      <c r="C96" s="12"/>
      <c r="D96" s="12"/>
      <c r="E96" s="16"/>
      <c r="F96" s="13"/>
      <c r="G96" s="14"/>
      <c r="H96" s="15"/>
      <c r="I96" s="15"/>
      <c r="J96" s="15"/>
      <c r="K96" s="15"/>
      <c r="L96" s="24"/>
      <c r="M96" s="14"/>
      <c r="N96" s="14"/>
      <c r="O96" s="11"/>
    </row>
    <row r="97" spans="1:15" x14ac:dyDescent="0.35">
      <c r="A97" s="11"/>
      <c r="B97" s="12"/>
      <c r="C97" s="12"/>
      <c r="D97" s="12"/>
      <c r="E97" s="16"/>
      <c r="F97" s="13"/>
      <c r="G97" s="14"/>
      <c r="H97" s="15"/>
      <c r="I97" s="15"/>
      <c r="J97" s="15"/>
      <c r="K97" s="15"/>
      <c r="L97" s="24"/>
      <c r="M97" s="14"/>
      <c r="N97" s="14"/>
      <c r="O97" s="11"/>
    </row>
    <row r="98" spans="1:15" x14ac:dyDescent="0.35">
      <c r="A98" s="11"/>
      <c r="B98" s="12"/>
      <c r="C98" s="12"/>
      <c r="D98" s="12"/>
      <c r="E98" s="16"/>
      <c r="F98" s="13"/>
      <c r="G98" s="14"/>
      <c r="H98" s="15"/>
      <c r="I98" s="15"/>
      <c r="J98" s="15"/>
      <c r="K98" s="15"/>
      <c r="L98" s="24"/>
      <c r="M98" s="14"/>
      <c r="N98" s="14"/>
      <c r="O98" s="11"/>
    </row>
    <row r="99" spans="1:15" x14ac:dyDescent="0.35">
      <c r="A99" s="11"/>
      <c r="B99" s="12"/>
      <c r="C99" s="12"/>
      <c r="D99" s="12"/>
      <c r="E99" s="16"/>
      <c r="F99" s="13"/>
      <c r="G99" s="14"/>
      <c r="H99" s="15"/>
      <c r="I99" s="15"/>
      <c r="J99" s="15"/>
      <c r="K99" s="15"/>
      <c r="L99" s="24"/>
      <c r="M99" s="14"/>
      <c r="N99" s="14"/>
      <c r="O99" s="11"/>
    </row>
    <row r="100" spans="1:15" x14ac:dyDescent="0.35">
      <c r="A100" s="11"/>
      <c r="B100" s="12"/>
      <c r="C100" s="12"/>
      <c r="D100" s="12"/>
      <c r="E100" s="16"/>
      <c r="F100" s="13"/>
      <c r="G100" s="14"/>
      <c r="H100" s="15"/>
      <c r="I100" s="15"/>
      <c r="J100" s="15"/>
      <c r="K100" s="15"/>
      <c r="L100" s="24"/>
      <c r="M100" s="14"/>
      <c r="N100" s="14"/>
      <c r="O100" s="11"/>
    </row>
    <row r="101" spans="1:15" x14ac:dyDescent="0.35">
      <c r="A101" s="11"/>
      <c r="B101" s="12"/>
      <c r="C101" s="12"/>
      <c r="D101" s="12"/>
      <c r="E101" s="16"/>
      <c r="F101" s="13"/>
      <c r="G101" s="14"/>
      <c r="H101" s="15"/>
      <c r="I101" s="15"/>
      <c r="J101" s="15"/>
      <c r="K101" s="15"/>
      <c r="L101" s="24"/>
      <c r="M101" s="14"/>
      <c r="N101" s="14"/>
      <c r="O101" s="11"/>
    </row>
    <row r="102" spans="1:15" x14ac:dyDescent="0.35">
      <c r="A102" s="11"/>
      <c r="B102" s="12"/>
      <c r="C102" s="12"/>
      <c r="D102" s="12"/>
      <c r="E102" s="16"/>
      <c r="F102" s="13"/>
      <c r="G102" s="14"/>
      <c r="H102" s="15"/>
      <c r="I102" s="15"/>
      <c r="J102" s="15"/>
      <c r="K102" s="15"/>
      <c r="L102" s="24"/>
      <c r="M102" s="14"/>
      <c r="N102" s="14"/>
      <c r="O102" s="11"/>
    </row>
    <row r="103" spans="1:15" x14ac:dyDescent="0.35">
      <c r="A103" s="11"/>
      <c r="B103" s="12"/>
      <c r="C103" s="12"/>
      <c r="D103" s="12"/>
      <c r="E103" s="16"/>
      <c r="F103" s="13"/>
      <c r="G103" s="14"/>
      <c r="H103" s="15"/>
      <c r="I103" s="15"/>
      <c r="J103" s="15"/>
      <c r="K103" s="15"/>
      <c r="L103" s="24"/>
      <c r="M103" s="14"/>
      <c r="N103" s="14"/>
      <c r="O103" s="11"/>
    </row>
    <row r="104" spans="1:15" x14ac:dyDescent="0.35">
      <c r="A104" s="11"/>
      <c r="B104" s="12"/>
      <c r="C104" s="12"/>
      <c r="D104" s="12"/>
      <c r="E104" s="16"/>
      <c r="F104" s="13"/>
      <c r="G104" s="14"/>
      <c r="H104" s="15"/>
      <c r="I104" s="15"/>
      <c r="J104" s="15"/>
      <c r="K104" s="15"/>
      <c r="L104" s="24"/>
      <c r="M104" s="14"/>
      <c r="N104" s="14"/>
      <c r="O104" s="11"/>
    </row>
    <row r="105" spans="1:15" x14ac:dyDescent="0.35">
      <c r="A105" s="11"/>
      <c r="B105" s="12"/>
      <c r="C105" s="12"/>
      <c r="D105" s="12"/>
      <c r="E105" s="16"/>
      <c r="F105" s="13"/>
      <c r="G105" s="14"/>
      <c r="H105" s="15"/>
      <c r="I105" s="15"/>
      <c r="J105" s="15"/>
      <c r="K105" s="15"/>
      <c r="L105" s="24"/>
      <c r="M105" s="14"/>
      <c r="N105" s="14"/>
      <c r="O105" s="11"/>
    </row>
    <row r="106" spans="1:15" x14ac:dyDescent="0.35">
      <c r="A106" s="11"/>
      <c r="B106" s="12"/>
      <c r="C106" s="12"/>
      <c r="D106" s="12"/>
      <c r="E106" s="16"/>
      <c r="F106" s="13"/>
      <c r="G106" s="14"/>
      <c r="H106" s="15"/>
      <c r="I106" s="15"/>
      <c r="J106" s="15"/>
      <c r="K106" s="15"/>
      <c r="L106" s="24"/>
      <c r="M106" s="14"/>
      <c r="N106" s="14"/>
      <c r="O106" s="11"/>
    </row>
    <row r="107" spans="1:15" x14ac:dyDescent="0.35">
      <c r="A107" s="11"/>
      <c r="B107" s="12"/>
      <c r="C107" s="12"/>
      <c r="D107" s="12"/>
      <c r="E107" s="16"/>
      <c r="F107" s="13"/>
      <c r="G107" s="14"/>
      <c r="H107" s="15"/>
      <c r="I107" s="15"/>
      <c r="J107" s="15"/>
      <c r="K107" s="15"/>
      <c r="L107" s="24"/>
      <c r="M107" s="14"/>
      <c r="N107" s="14"/>
      <c r="O107" s="11"/>
    </row>
    <row r="108" spans="1:15" x14ac:dyDescent="0.35">
      <c r="A108" s="11"/>
      <c r="B108" s="12"/>
      <c r="C108" s="12"/>
      <c r="D108" s="12"/>
      <c r="E108" s="16"/>
      <c r="F108" s="13"/>
      <c r="G108" s="14"/>
      <c r="H108" s="15"/>
      <c r="I108" s="15"/>
      <c r="J108" s="15"/>
      <c r="K108" s="15"/>
      <c r="L108" s="24"/>
      <c r="M108" s="14"/>
      <c r="N108" s="14"/>
      <c r="O108" s="11"/>
    </row>
    <row r="109" spans="1:15" x14ac:dyDescent="0.35">
      <c r="A109" s="11"/>
      <c r="B109" s="12"/>
      <c r="C109" s="12"/>
      <c r="D109" s="12"/>
      <c r="E109" s="16"/>
      <c r="F109" s="13"/>
      <c r="G109" s="14"/>
      <c r="H109" s="15"/>
      <c r="I109" s="15"/>
      <c r="J109" s="15"/>
      <c r="K109" s="15"/>
      <c r="L109" s="24"/>
      <c r="M109" s="14"/>
      <c r="N109" s="14"/>
      <c r="O109" s="11"/>
    </row>
    <row r="110" spans="1:15" x14ac:dyDescent="0.35">
      <c r="A110" s="11"/>
      <c r="B110" s="12"/>
      <c r="C110" s="12"/>
      <c r="D110" s="12"/>
      <c r="E110" s="16"/>
      <c r="F110" s="13"/>
      <c r="G110" s="14"/>
      <c r="H110" s="15"/>
      <c r="I110" s="15"/>
      <c r="J110" s="15"/>
      <c r="K110" s="15"/>
      <c r="L110" s="24"/>
      <c r="M110" s="14"/>
      <c r="N110" s="14"/>
      <c r="O110" s="11"/>
    </row>
    <row r="111" spans="1:15" x14ac:dyDescent="0.35">
      <c r="A111" s="11"/>
      <c r="B111" s="12"/>
      <c r="C111" s="12"/>
      <c r="D111" s="12"/>
      <c r="E111" s="16"/>
      <c r="F111" s="13"/>
      <c r="G111" s="14"/>
      <c r="H111" s="15"/>
      <c r="I111" s="15"/>
      <c r="J111" s="15"/>
      <c r="K111" s="15"/>
      <c r="L111" s="24"/>
      <c r="M111" s="14"/>
      <c r="N111" s="14"/>
      <c r="O111" s="11"/>
    </row>
    <row r="112" spans="1:15" x14ac:dyDescent="0.35">
      <c r="A112" s="11"/>
      <c r="B112" s="12"/>
      <c r="C112" s="12"/>
      <c r="D112" s="12"/>
      <c r="E112" s="16"/>
      <c r="F112" s="13"/>
      <c r="G112" s="14"/>
      <c r="H112" s="15"/>
      <c r="I112" s="15"/>
      <c r="J112" s="15"/>
      <c r="K112" s="15"/>
      <c r="L112" s="24"/>
      <c r="M112" s="14"/>
      <c r="N112" s="14"/>
      <c r="O112" s="11"/>
    </row>
    <row r="113" spans="1:15" x14ac:dyDescent="0.35">
      <c r="A113" s="11"/>
      <c r="B113" s="12"/>
      <c r="C113" s="12"/>
      <c r="D113" s="12"/>
      <c r="E113" s="16"/>
      <c r="F113" s="13"/>
      <c r="G113" s="14"/>
      <c r="H113" s="15"/>
      <c r="I113" s="15"/>
      <c r="J113" s="15"/>
      <c r="K113" s="15"/>
      <c r="L113" s="24"/>
      <c r="M113" s="14"/>
      <c r="N113" s="14"/>
      <c r="O113" s="11"/>
    </row>
    <row r="114" spans="1:15" x14ac:dyDescent="0.35">
      <c r="A114" s="6"/>
      <c r="B114" s="7"/>
      <c r="C114" s="7"/>
      <c r="D114" s="7"/>
      <c r="E114" s="17"/>
      <c r="F114" s="8"/>
      <c r="G114" s="9"/>
      <c r="H114" s="10"/>
      <c r="I114" s="10"/>
      <c r="J114" s="10"/>
      <c r="K114" s="10"/>
      <c r="L114" s="25"/>
      <c r="M114" s="9"/>
      <c r="N114" s="9"/>
      <c r="O114" s="6"/>
    </row>
  </sheetData>
  <conditionalFormatting sqref="A1:A1048576">
    <cfRule type="duplicateValues" dxfId="18" priority="4"/>
  </conditionalFormatting>
  <conditionalFormatting sqref="B1:B1048576">
    <cfRule type="duplicateValues" dxfId="17" priority="3"/>
  </conditionalFormatting>
  <conditionalFormatting sqref="E1:E1048576">
    <cfRule type="duplicateValues" dxfId="16" priority="2"/>
  </conditionalFormatting>
  <pageMargins left="0.25" right="0.25" top="1.05" bottom="0.75" header="0.5" footer="0.3"/>
  <pageSetup paperSize="9" scale="64" fitToHeight="0" orientation="landscape" r:id="rId1"/>
  <headerFooter>
    <oddHeader>&amp;L&amp;G&amp;C&amp;"-,Bold"&amp;28&amp;KC00000LC REG&amp;K01+000|&amp;KC00000NZDY&amp;K000000|&amp;KC000002026&amp;R&amp;D</oddHeader>
    <oddFooter>Page &amp;P of &amp;N</oddFooter>
  </headerFooter>
  <legacyDrawing r:id="rId2"/>
  <legacyDrawingHF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D34D606-EB6E-4394-978A-F086D04A579C}">
            <xm:f>AND($E2&lt;&gt;"", SUMPRODUCT(--(Data!$E$2:$E$500&lt;&gt;""), --(Data!$F$2:$F$500&lt;&gt;""), --ISNUMBER(SEARCH(Data!$E$2:$E$500, $D2)), --(UPPER(IF(ISNUMBER(Data!$F$2:$F$500), TEXT(Data!$F$2:$F$500,"0000"), TRIM(Data!$F$2:$F$500))) = UPPER(LEFT(TRIM($E2),4)))) = 0)</xm:f>
            <x14:dxf>
              <fill>
                <patternFill>
                  <bgColor rgb="FFFFB7B7"/>
                </patternFill>
              </fill>
            </x14:dxf>
          </x14:cfRule>
          <xm:sqref>E2:E76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00000000-0002-0000-0200-000000000000}">
          <x14:formula1>
            <xm:f>Data!$B$2:$B$171</xm:f>
          </x14:formula1>
          <xm:sqref>D26:D76</xm:sqref>
        </x14:dataValidation>
        <x14:dataValidation type="list" allowBlank="1" showInputMessage="1" xr:uid="{00000000-0002-0000-0200-000001000000}">
          <x14:formula1>
            <xm:f>Data!$A$2:$A$171</xm:f>
          </x14:formula1>
          <xm:sqref>C2:C1048576</xm:sqref>
        </x14:dataValidation>
        <x14:dataValidation type="list" allowBlank="1" showInputMessage="1" xr:uid="{00000000-0002-0000-0200-000002000000}">
          <x14:formula1>
            <xm:f>Data!$B$2:$B$186</xm:f>
          </x14:formula1>
          <xm:sqref>D2:D25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208"/>
  <sheetViews>
    <sheetView topLeftCell="A64" zoomScale="85" zoomScaleNormal="85" workbookViewId="0">
      <selection activeCell="E95" sqref="E95"/>
    </sheetView>
  </sheetViews>
  <sheetFormatPr defaultRowHeight="14.25" x14ac:dyDescent="0.2"/>
  <cols>
    <col min="1" max="1" width="47.6640625" style="105" bestFit="1" customWidth="1"/>
    <col min="2" max="2" width="64" style="105" bestFit="1" customWidth="1"/>
    <col min="3" max="3" width="19" style="105" bestFit="1" customWidth="1"/>
    <col min="4" max="4" width="8.88671875" style="105"/>
    <col min="5" max="5" width="32.33203125" style="105" bestFit="1" customWidth="1"/>
    <col min="6" max="6" width="11.33203125" style="106" customWidth="1"/>
    <col min="7" max="16384" width="8.88671875" style="105"/>
  </cols>
  <sheetData>
    <row r="1" spans="1:6" x14ac:dyDescent="0.2">
      <c r="A1" s="105" t="s">
        <v>1</v>
      </c>
      <c r="B1" s="105" t="s">
        <v>305</v>
      </c>
      <c r="C1" s="105" t="s">
        <v>8</v>
      </c>
      <c r="E1" s="105" t="s">
        <v>306</v>
      </c>
      <c r="F1" s="106" t="s">
        <v>307</v>
      </c>
    </row>
    <row r="2" spans="1:6" x14ac:dyDescent="0.2">
      <c r="A2" s="107" t="s">
        <v>15</v>
      </c>
      <c r="B2" s="107" t="s">
        <v>16</v>
      </c>
      <c r="C2" s="107" t="s">
        <v>2268</v>
      </c>
      <c r="E2" s="106" t="s">
        <v>308</v>
      </c>
      <c r="F2" s="106">
        <v>3085</v>
      </c>
    </row>
    <row r="3" spans="1:6" x14ac:dyDescent="0.2">
      <c r="A3" s="107" t="s">
        <v>17</v>
      </c>
      <c r="B3" s="107" t="s">
        <v>18</v>
      </c>
      <c r="C3" s="107" t="s">
        <v>19</v>
      </c>
      <c r="E3" s="106" t="s">
        <v>309</v>
      </c>
      <c r="F3" s="106">
        <v>1680</v>
      </c>
    </row>
    <row r="4" spans="1:6" x14ac:dyDescent="0.2">
      <c r="A4" s="107" t="s">
        <v>20</v>
      </c>
      <c r="B4" s="107" t="s">
        <v>21</v>
      </c>
      <c r="C4" s="107" t="s">
        <v>2269</v>
      </c>
      <c r="E4" s="106" t="s">
        <v>310</v>
      </c>
      <c r="F4" s="106" t="s">
        <v>335</v>
      </c>
    </row>
    <row r="5" spans="1:6" x14ac:dyDescent="0.2">
      <c r="A5" s="107" t="s">
        <v>22</v>
      </c>
      <c r="B5" s="107" t="s">
        <v>23</v>
      </c>
      <c r="C5" s="107" t="s">
        <v>24</v>
      </c>
      <c r="E5" s="106" t="s">
        <v>311</v>
      </c>
      <c r="F5" s="106" t="s">
        <v>584</v>
      </c>
    </row>
    <row r="6" spans="1:6" x14ac:dyDescent="0.2">
      <c r="A6" s="107" t="s">
        <v>25</v>
      </c>
      <c r="B6" s="107" t="s">
        <v>23</v>
      </c>
      <c r="C6" s="107" t="s">
        <v>24</v>
      </c>
      <c r="E6" s="106" t="s">
        <v>312</v>
      </c>
      <c r="F6" s="106" t="s">
        <v>471</v>
      </c>
    </row>
    <row r="7" spans="1:6" x14ac:dyDescent="0.2">
      <c r="A7" s="107" t="s">
        <v>275</v>
      </c>
      <c r="B7" s="107" t="s">
        <v>271</v>
      </c>
      <c r="C7" s="107" t="s">
        <v>2268</v>
      </c>
      <c r="E7" s="106" t="s">
        <v>313</v>
      </c>
      <c r="F7" s="106" t="s">
        <v>448</v>
      </c>
    </row>
    <row r="8" spans="1:6" x14ac:dyDescent="0.2">
      <c r="A8" s="107" t="s">
        <v>26</v>
      </c>
      <c r="B8" s="107" t="s">
        <v>27</v>
      </c>
      <c r="C8" s="107" t="s">
        <v>2268</v>
      </c>
      <c r="E8" s="106" t="s">
        <v>314</v>
      </c>
      <c r="F8" s="106">
        <v>1021</v>
      </c>
    </row>
    <row r="9" spans="1:6" x14ac:dyDescent="0.2">
      <c r="A9" s="107" t="s">
        <v>28</v>
      </c>
      <c r="B9" s="107" t="s">
        <v>29</v>
      </c>
      <c r="C9" s="107" t="s">
        <v>2268</v>
      </c>
      <c r="E9" s="106" t="s">
        <v>315</v>
      </c>
      <c r="F9" s="106">
        <v>1416</v>
      </c>
    </row>
    <row r="10" spans="1:6" x14ac:dyDescent="0.2">
      <c r="A10" s="107" t="s">
        <v>30</v>
      </c>
      <c r="B10" s="107" t="s">
        <v>31</v>
      </c>
      <c r="C10" s="107" t="s">
        <v>24</v>
      </c>
      <c r="E10" s="106" t="s">
        <v>316</v>
      </c>
      <c r="F10" s="106" t="s">
        <v>422</v>
      </c>
    </row>
    <row r="11" spans="1:6" x14ac:dyDescent="0.2">
      <c r="A11" s="107" t="s">
        <v>286</v>
      </c>
      <c r="B11" s="107" t="s">
        <v>287</v>
      </c>
      <c r="C11" s="107" t="s">
        <v>2269</v>
      </c>
      <c r="E11" s="106" t="s">
        <v>317</v>
      </c>
      <c r="F11" s="106">
        <v>1952</v>
      </c>
    </row>
    <row r="12" spans="1:6" x14ac:dyDescent="0.2">
      <c r="A12" s="107" t="s">
        <v>33</v>
      </c>
      <c r="B12" s="107" t="s">
        <v>32</v>
      </c>
      <c r="C12" s="107" t="s">
        <v>34</v>
      </c>
      <c r="E12" s="106" t="s">
        <v>318</v>
      </c>
      <c r="F12" s="106">
        <v>1877</v>
      </c>
    </row>
    <row r="13" spans="1:6" x14ac:dyDescent="0.2">
      <c r="A13" s="107" t="s">
        <v>35</v>
      </c>
      <c r="B13" s="107" t="s">
        <v>21</v>
      </c>
      <c r="C13" s="107" t="s">
        <v>34</v>
      </c>
      <c r="E13" s="106" t="s">
        <v>319</v>
      </c>
      <c r="F13" s="106" t="s">
        <v>336</v>
      </c>
    </row>
    <row r="14" spans="1:6" x14ac:dyDescent="0.2">
      <c r="A14" s="107" t="s">
        <v>37</v>
      </c>
      <c r="B14" s="107" t="s">
        <v>21</v>
      </c>
      <c r="C14" s="107" t="s">
        <v>34</v>
      </c>
      <c r="E14" s="106" t="s">
        <v>320</v>
      </c>
      <c r="F14" s="106">
        <v>4110</v>
      </c>
    </row>
    <row r="15" spans="1:6" x14ac:dyDescent="0.2">
      <c r="A15" s="107" t="s">
        <v>297</v>
      </c>
      <c r="B15" s="107" t="s">
        <v>298</v>
      </c>
      <c r="C15" s="107" t="s">
        <v>24</v>
      </c>
      <c r="E15" s="106" t="s">
        <v>321</v>
      </c>
      <c r="F15" s="106">
        <v>3505</v>
      </c>
    </row>
    <row r="16" spans="1:6" x14ac:dyDescent="0.2">
      <c r="A16" s="107" t="s">
        <v>267</v>
      </c>
      <c r="B16" s="107" t="s">
        <v>93</v>
      </c>
      <c r="C16" s="107" t="s">
        <v>2269</v>
      </c>
      <c r="E16" s="106" t="s">
        <v>322</v>
      </c>
      <c r="F16" s="106" t="s">
        <v>337</v>
      </c>
    </row>
    <row r="17" spans="1:6" x14ac:dyDescent="0.2">
      <c r="A17" s="107" t="s">
        <v>38</v>
      </c>
      <c r="B17" s="107" t="s">
        <v>39</v>
      </c>
      <c r="C17" s="107" t="s">
        <v>34</v>
      </c>
      <c r="E17" s="106" t="s">
        <v>323</v>
      </c>
      <c r="F17" s="106" t="s">
        <v>339</v>
      </c>
    </row>
    <row r="18" spans="1:6" x14ac:dyDescent="0.2">
      <c r="A18" s="107" t="s">
        <v>40</v>
      </c>
      <c r="B18" s="107" t="s">
        <v>41</v>
      </c>
      <c r="C18" s="107" t="s">
        <v>2268</v>
      </c>
      <c r="E18" s="106" t="s">
        <v>324</v>
      </c>
      <c r="F18" s="106" t="s">
        <v>338</v>
      </c>
    </row>
    <row r="19" spans="1:6" x14ac:dyDescent="0.2">
      <c r="A19" s="107" t="s">
        <v>42</v>
      </c>
      <c r="B19" s="107" t="s">
        <v>43</v>
      </c>
      <c r="C19" s="107" t="s">
        <v>2268</v>
      </c>
      <c r="E19" s="106" t="s">
        <v>325</v>
      </c>
      <c r="F19" s="106">
        <v>2090</v>
      </c>
    </row>
    <row r="20" spans="1:6" x14ac:dyDescent="0.2">
      <c r="A20" s="107" t="s">
        <v>44</v>
      </c>
      <c r="B20" s="107" t="s">
        <v>45</v>
      </c>
      <c r="C20" s="107" t="s">
        <v>19</v>
      </c>
      <c r="E20" s="106" t="s">
        <v>326</v>
      </c>
      <c r="F20" s="106" t="s">
        <v>453</v>
      </c>
    </row>
    <row r="21" spans="1:6" x14ac:dyDescent="0.2">
      <c r="A21" s="107" t="s">
        <v>46</v>
      </c>
      <c r="B21" s="107" t="s">
        <v>47</v>
      </c>
      <c r="C21" s="107" t="s">
        <v>48</v>
      </c>
      <c r="E21" s="106" t="s">
        <v>327</v>
      </c>
      <c r="F21" s="106">
        <v>1616</v>
      </c>
    </row>
    <row r="22" spans="1:6" x14ac:dyDescent="0.2">
      <c r="A22" s="107" t="s">
        <v>49</v>
      </c>
      <c r="B22" s="107" t="s">
        <v>50</v>
      </c>
      <c r="C22" s="107" t="s">
        <v>2268</v>
      </c>
      <c r="E22" s="106" t="s">
        <v>328</v>
      </c>
      <c r="F22" s="106">
        <v>1216</v>
      </c>
    </row>
    <row r="23" spans="1:6" x14ac:dyDescent="0.2">
      <c r="A23" s="107" t="s">
        <v>51</v>
      </c>
      <c r="B23" s="107" t="s">
        <v>52</v>
      </c>
      <c r="C23" s="107" t="s">
        <v>2268</v>
      </c>
      <c r="E23" s="106" t="s">
        <v>329</v>
      </c>
      <c r="F23" s="106">
        <v>1747</v>
      </c>
    </row>
    <row r="24" spans="1:6" x14ac:dyDescent="0.2">
      <c r="A24" s="107" t="s">
        <v>290</v>
      </c>
      <c r="B24" s="107" t="s">
        <v>291</v>
      </c>
      <c r="C24" s="107" t="s">
        <v>2268</v>
      </c>
      <c r="E24" s="106" t="s">
        <v>330</v>
      </c>
      <c r="F24" s="106">
        <v>3054</v>
      </c>
    </row>
    <row r="25" spans="1:6" x14ac:dyDescent="0.2">
      <c r="A25" s="107" t="s">
        <v>276</v>
      </c>
      <c r="B25" s="107" t="s">
        <v>2270</v>
      </c>
      <c r="C25" s="107" t="s">
        <v>2269</v>
      </c>
      <c r="E25" s="106" t="s">
        <v>331</v>
      </c>
      <c r="F25" s="106">
        <v>2361</v>
      </c>
    </row>
    <row r="26" spans="1:6" x14ac:dyDescent="0.2">
      <c r="A26" s="107" t="s">
        <v>53</v>
      </c>
      <c r="B26" s="107" t="s">
        <v>54</v>
      </c>
      <c r="C26" s="107" t="s">
        <v>19</v>
      </c>
      <c r="E26" s="106" t="s">
        <v>332</v>
      </c>
      <c r="F26" s="106">
        <v>2228</v>
      </c>
    </row>
    <row r="27" spans="1:6" x14ac:dyDescent="0.2">
      <c r="A27" s="107" t="s">
        <v>55</v>
      </c>
      <c r="B27" s="107" t="s">
        <v>56</v>
      </c>
      <c r="C27" s="107" t="s">
        <v>2269</v>
      </c>
      <c r="E27" s="106" t="s">
        <v>333</v>
      </c>
      <c r="F27" s="106" t="s">
        <v>340</v>
      </c>
    </row>
    <row r="28" spans="1:6" x14ac:dyDescent="0.2">
      <c r="A28" s="107" t="s">
        <v>57</v>
      </c>
      <c r="B28" s="107" t="s">
        <v>58</v>
      </c>
      <c r="C28" s="107" t="s">
        <v>2269</v>
      </c>
      <c r="E28" s="106" t="s">
        <v>1033</v>
      </c>
      <c r="F28" s="106">
        <v>1471</v>
      </c>
    </row>
    <row r="29" spans="1:6" x14ac:dyDescent="0.2">
      <c r="A29" s="107" t="s">
        <v>60</v>
      </c>
      <c r="B29" s="107" t="s">
        <v>61</v>
      </c>
      <c r="C29" s="107" t="s">
        <v>48</v>
      </c>
      <c r="E29" s="106" t="s">
        <v>334</v>
      </c>
      <c r="F29" s="106">
        <v>1822</v>
      </c>
    </row>
    <row r="30" spans="1:6" x14ac:dyDescent="0.2">
      <c r="A30" s="107" t="s">
        <v>62</v>
      </c>
      <c r="B30" s="107" t="s">
        <v>63</v>
      </c>
      <c r="C30" s="107" t="s">
        <v>2268</v>
      </c>
      <c r="E30" s="106" t="s">
        <v>362</v>
      </c>
      <c r="F30" s="106" t="s">
        <v>363</v>
      </c>
    </row>
    <row r="31" spans="1:6" x14ac:dyDescent="0.2">
      <c r="A31" s="107" t="s">
        <v>289</v>
      </c>
      <c r="B31" s="107" t="s">
        <v>414</v>
      </c>
      <c r="C31" s="107" t="s">
        <v>2268</v>
      </c>
      <c r="E31" s="106" t="s">
        <v>313</v>
      </c>
      <c r="F31" s="106" t="s">
        <v>410</v>
      </c>
    </row>
    <row r="32" spans="1:6" x14ac:dyDescent="0.2">
      <c r="A32" s="107" t="s">
        <v>64</v>
      </c>
      <c r="B32" s="107" t="s">
        <v>21</v>
      </c>
      <c r="C32" s="107" t="s">
        <v>2269</v>
      </c>
      <c r="E32" s="106" t="s">
        <v>412</v>
      </c>
      <c r="F32" s="106" t="s">
        <v>413</v>
      </c>
    </row>
    <row r="33" spans="1:6" x14ac:dyDescent="0.2">
      <c r="A33" s="107" t="s">
        <v>65</v>
      </c>
      <c r="B33" s="107" t="s">
        <v>66</v>
      </c>
      <c r="C33" s="107" t="s">
        <v>2269</v>
      </c>
      <c r="E33" s="106" t="s">
        <v>458</v>
      </c>
      <c r="F33" s="106" t="s">
        <v>459</v>
      </c>
    </row>
    <row r="34" spans="1:6" x14ac:dyDescent="0.2">
      <c r="A34" s="107" t="s">
        <v>282</v>
      </c>
      <c r="B34" s="107" t="s">
        <v>283</v>
      </c>
      <c r="C34" s="107" t="s">
        <v>2268</v>
      </c>
      <c r="E34" s="106" t="s">
        <v>312</v>
      </c>
      <c r="F34" s="106" t="s">
        <v>469</v>
      </c>
    </row>
    <row r="35" spans="1:6" x14ac:dyDescent="0.2">
      <c r="A35" s="107" t="s">
        <v>67</v>
      </c>
      <c r="B35" s="107" t="s">
        <v>2271</v>
      </c>
      <c r="C35" s="107" t="s">
        <v>2268</v>
      </c>
      <c r="E35" s="106" t="s">
        <v>326</v>
      </c>
      <c r="F35" s="106" t="s">
        <v>582</v>
      </c>
    </row>
    <row r="36" spans="1:6" x14ac:dyDescent="0.2">
      <c r="A36" s="107" t="s">
        <v>68</v>
      </c>
      <c r="B36" s="107" t="s">
        <v>69</v>
      </c>
      <c r="C36" s="107" t="s">
        <v>24</v>
      </c>
      <c r="E36" s="106" t="s">
        <v>312</v>
      </c>
      <c r="F36" s="106" t="s">
        <v>583</v>
      </c>
    </row>
    <row r="37" spans="1:6" x14ac:dyDescent="0.2">
      <c r="A37" s="107" t="s">
        <v>71</v>
      </c>
      <c r="B37" s="107" t="s">
        <v>72</v>
      </c>
      <c r="C37" s="107" t="s">
        <v>2268</v>
      </c>
      <c r="E37" s="106" t="s">
        <v>362</v>
      </c>
      <c r="F37" s="106" t="s">
        <v>588</v>
      </c>
    </row>
    <row r="38" spans="1:6" x14ac:dyDescent="0.2">
      <c r="A38" s="107" t="s">
        <v>73</v>
      </c>
      <c r="B38" s="107" t="s">
        <v>74</v>
      </c>
      <c r="C38" s="107" t="s">
        <v>2268</v>
      </c>
      <c r="E38" s="106" t="s">
        <v>322</v>
      </c>
      <c r="F38" s="106" t="s">
        <v>597</v>
      </c>
    </row>
    <row r="39" spans="1:6" x14ac:dyDescent="0.2">
      <c r="A39" s="107" t="s">
        <v>281</v>
      </c>
      <c r="B39" s="107" t="s">
        <v>2272</v>
      </c>
      <c r="C39" s="107" t="s">
        <v>2269</v>
      </c>
      <c r="E39" s="106" t="s">
        <v>313</v>
      </c>
      <c r="F39" s="106" t="s">
        <v>648</v>
      </c>
    </row>
    <row r="40" spans="1:6" x14ac:dyDescent="0.2">
      <c r="A40" s="107" t="s">
        <v>279</v>
      </c>
      <c r="B40" s="107" t="s">
        <v>280</v>
      </c>
      <c r="C40" s="107" t="s">
        <v>24</v>
      </c>
      <c r="E40" s="106" t="s">
        <v>309</v>
      </c>
      <c r="F40" s="106" t="s">
        <v>741</v>
      </c>
    </row>
    <row r="41" spans="1:6" x14ac:dyDescent="0.2">
      <c r="A41" s="107" t="s">
        <v>75</v>
      </c>
      <c r="B41" s="107" t="s">
        <v>76</v>
      </c>
      <c r="C41" s="107" t="s">
        <v>2268</v>
      </c>
      <c r="E41" s="106" t="s">
        <v>324</v>
      </c>
      <c r="F41" s="106" t="s">
        <v>746</v>
      </c>
    </row>
    <row r="42" spans="1:6" x14ac:dyDescent="0.2">
      <c r="A42" s="107" t="s">
        <v>77</v>
      </c>
      <c r="B42" s="107" t="s">
        <v>66</v>
      </c>
      <c r="C42" s="107" t="s">
        <v>2268</v>
      </c>
      <c r="E42" s="106" t="s">
        <v>315</v>
      </c>
      <c r="F42" s="106" t="s">
        <v>759</v>
      </c>
    </row>
    <row r="43" spans="1:6" x14ac:dyDescent="0.2">
      <c r="A43" s="107" t="s">
        <v>78</v>
      </c>
      <c r="B43" s="107" t="s">
        <v>79</v>
      </c>
      <c r="C43" s="107" t="s">
        <v>2269</v>
      </c>
      <c r="E43" s="106" t="s">
        <v>312</v>
      </c>
      <c r="F43" s="106" t="s">
        <v>769</v>
      </c>
    </row>
    <row r="44" spans="1:6" x14ac:dyDescent="0.2">
      <c r="A44" s="107" t="s">
        <v>301</v>
      </c>
      <c r="B44" s="107" t="s">
        <v>302</v>
      </c>
      <c r="C44" s="107" t="s">
        <v>2269</v>
      </c>
      <c r="E44" s="106" t="s">
        <v>314</v>
      </c>
      <c r="F44" s="106" t="s">
        <v>775</v>
      </c>
    </row>
    <row r="45" spans="1:6" x14ac:dyDescent="0.2">
      <c r="A45" s="107" t="s">
        <v>80</v>
      </c>
      <c r="B45" s="107" t="s">
        <v>81</v>
      </c>
      <c r="C45" s="107" t="s">
        <v>2268</v>
      </c>
      <c r="E45" s="106" t="s">
        <v>314</v>
      </c>
      <c r="F45" s="106" t="s">
        <v>850</v>
      </c>
    </row>
    <row r="46" spans="1:6" x14ac:dyDescent="0.2">
      <c r="A46" s="107" t="s">
        <v>82</v>
      </c>
      <c r="B46" s="107" t="s">
        <v>83</v>
      </c>
      <c r="C46" s="107" t="s">
        <v>34</v>
      </c>
      <c r="E46" s="106" t="s">
        <v>324</v>
      </c>
      <c r="F46" s="106" t="s">
        <v>872</v>
      </c>
    </row>
    <row r="47" spans="1:6" x14ac:dyDescent="0.2">
      <c r="A47" s="107" t="s">
        <v>84</v>
      </c>
      <c r="B47" s="107" t="s">
        <v>2273</v>
      </c>
      <c r="C47" s="107" t="s">
        <v>2268</v>
      </c>
      <c r="E47" s="106" t="s">
        <v>326</v>
      </c>
      <c r="F47" s="106" t="s">
        <v>876</v>
      </c>
    </row>
    <row r="48" spans="1:6" x14ac:dyDescent="0.2">
      <c r="A48" s="107" t="s">
        <v>85</v>
      </c>
      <c r="B48" s="107" t="s">
        <v>1394</v>
      </c>
      <c r="C48" s="107" t="s">
        <v>2269</v>
      </c>
      <c r="E48" s="106" t="s">
        <v>315</v>
      </c>
      <c r="F48" s="106" t="s">
        <v>885</v>
      </c>
    </row>
    <row r="49" spans="1:6" x14ac:dyDescent="0.2">
      <c r="A49" s="107" t="s">
        <v>86</v>
      </c>
      <c r="B49" s="107" t="s">
        <v>87</v>
      </c>
      <c r="C49" s="107" t="s">
        <v>2268</v>
      </c>
      <c r="E49" s="106" t="s">
        <v>893</v>
      </c>
      <c r="F49" s="106" t="s">
        <v>894</v>
      </c>
    </row>
    <row r="50" spans="1:6" x14ac:dyDescent="0.2">
      <c r="A50" s="107" t="s">
        <v>88</v>
      </c>
      <c r="B50" s="107" t="s">
        <v>89</v>
      </c>
      <c r="C50" s="107" t="s">
        <v>2268</v>
      </c>
      <c r="E50" s="106" t="s">
        <v>412</v>
      </c>
      <c r="F50" s="106" t="s">
        <v>914</v>
      </c>
    </row>
    <row r="51" spans="1:6" x14ac:dyDescent="0.2">
      <c r="A51" s="107" t="s">
        <v>90</v>
      </c>
      <c r="B51" s="107" t="s">
        <v>91</v>
      </c>
      <c r="C51" s="107" t="s">
        <v>48</v>
      </c>
      <c r="E51" s="106" t="s">
        <v>314</v>
      </c>
      <c r="F51" s="106" t="s">
        <v>1048</v>
      </c>
    </row>
    <row r="52" spans="1:6" x14ac:dyDescent="0.2">
      <c r="A52" s="107" t="s">
        <v>92</v>
      </c>
      <c r="B52" s="107" t="s">
        <v>93</v>
      </c>
      <c r="C52" s="107" t="s">
        <v>2268</v>
      </c>
      <c r="E52" s="106" t="s">
        <v>312</v>
      </c>
      <c r="F52" s="106" t="s">
        <v>1055</v>
      </c>
    </row>
    <row r="53" spans="1:6" x14ac:dyDescent="0.2">
      <c r="A53" s="107" t="s">
        <v>94</v>
      </c>
      <c r="B53" s="107" t="s">
        <v>95</v>
      </c>
      <c r="C53" s="107" t="s">
        <v>19</v>
      </c>
      <c r="E53" s="106" t="s">
        <v>893</v>
      </c>
      <c r="F53" s="106" t="s">
        <v>1062</v>
      </c>
    </row>
    <row r="54" spans="1:6" x14ac:dyDescent="0.2">
      <c r="A54" s="107" t="s">
        <v>97</v>
      </c>
      <c r="B54" s="107" t="s">
        <v>98</v>
      </c>
      <c r="C54" s="107" t="s">
        <v>2269</v>
      </c>
      <c r="E54" s="106" t="s">
        <v>362</v>
      </c>
      <c r="F54" s="106" t="s">
        <v>1086</v>
      </c>
    </row>
    <row r="55" spans="1:6" x14ac:dyDescent="0.2">
      <c r="A55" s="107" t="s">
        <v>99</v>
      </c>
      <c r="B55" s="107" t="s">
        <v>100</v>
      </c>
      <c r="C55" s="107" t="s">
        <v>2269</v>
      </c>
      <c r="E55" s="106" t="s">
        <v>314</v>
      </c>
      <c r="F55" s="106" t="s">
        <v>1093</v>
      </c>
    </row>
    <row r="56" spans="1:6" x14ac:dyDescent="0.2">
      <c r="A56" s="107" t="s">
        <v>101</v>
      </c>
      <c r="B56" s="107" t="s">
        <v>79</v>
      </c>
      <c r="C56" s="107" t="s">
        <v>2268</v>
      </c>
      <c r="E56" s="106" t="s">
        <v>319</v>
      </c>
      <c r="F56" s="106" t="s">
        <v>1099</v>
      </c>
    </row>
    <row r="57" spans="1:6" x14ac:dyDescent="0.2">
      <c r="A57" s="107" t="s">
        <v>102</v>
      </c>
      <c r="B57" s="107" t="s">
        <v>103</v>
      </c>
      <c r="C57" s="107" t="s">
        <v>2268</v>
      </c>
      <c r="E57" s="106" t="s">
        <v>362</v>
      </c>
      <c r="F57" s="106" t="s">
        <v>1157</v>
      </c>
    </row>
    <row r="58" spans="1:6" x14ac:dyDescent="0.2">
      <c r="A58" s="107" t="s">
        <v>104</v>
      </c>
      <c r="B58" s="107" t="s">
        <v>105</v>
      </c>
      <c r="C58" s="107" t="s">
        <v>48</v>
      </c>
      <c r="E58" s="106" t="s">
        <v>331</v>
      </c>
      <c r="F58" s="106" t="s">
        <v>1195</v>
      </c>
    </row>
    <row r="59" spans="1:6" x14ac:dyDescent="0.2">
      <c r="A59" s="107" t="s">
        <v>106</v>
      </c>
      <c r="B59" s="107" t="s">
        <v>107</v>
      </c>
      <c r="C59" s="107" t="s">
        <v>19</v>
      </c>
      <c r="E59" s="106" t="s">
        <v>309</v>
      </c>
      <c r="F59" s="106" t="s">
        <v>1254</v>
      </c>
    </row>
    <row r="60" spans="1:6" x14ac:dyDescent="0.2">
      <c r="A60" s="107" t="s">
        <v>108</v>
      </c>
      <c r="B60" s="107" t="s">
        <v>109</v>
      </c>
      <c r="C60" s="107" t="s">
        <v>19</v>
      </c>
      <c r="E60" s="106" t="s">
        <v>1310</v>
      </c>
      <c r="F60" s="106" t="s">
        <v>1311</v>
      </c>
    </row>
    <row r="61" spans="1:6" x14ac:dyDescent="0.2">
      <c r="A61" s="107" t="s">
        <v>110</v>
      </c>
      <c r="B61" s="107" t="s">
        <v>111</v>
      </c>
      <c r="C61" s="107" t="s">
        <v>2268</v>
      </c>
      <c r="E61" s="106" t="s">
        <v>316</v>
      </c>
      <c r="F61" s="106" t="s">
        <v>1316</v>
      </c>
    </row>
    <row r="62" spans="1:6" x14ac:dyDescent="0.2">
      <c r="A62" s="107" t="s">
        <v>112</v>
      </c>
      <c r="B62" s="107" t="s">
        <v>113</v>
      </c>
      <c r="C62" s="107" t="s">
        <v>2269</v>
      </c>
      <c r="E62" s="106" t="s">
        <v>327</v>
      </c>
      <c r="F62" s="106" t="s">
        <v>1395</v>
      </c>
    </row>
    <row r="63" spans="1:6" x14ac:dyDescent="0.2">
      <c r="A63" s="107" t="s">
        <v>114</v>
      </c>
      <c r="B63" s="107" t="s">
        <v>115</v>
      </c>
      <c r="C63" s="107" t="s">
        <v>24</v>
      </c>
      <c r="E63" s="106" t="s">
        <v>330</v>
      </c>
      <c r="F63" s="106" t="s">
        <v>1448</v>
      </c>
    </row>
    <row r="64" spans="1:6" x14ac:dyDescent="0.2">
      <c r="A64" s="107" t="s">
        <v>118</v>
      </c>
      <c r="B64" s="107" t="s">
        <v>119</v>
      </c>
      <c r="C64" s="107" t="s">
        <v>2269</v>
      </c>
      <c r="E64" s="106" t="s">
        <v>330</v>
      </c>
      <c r="F64" s="106" t="s">
        <v>1456</v>
      </c>
    </row>
    <row r="65" spans="1:6" x14ac:dyDescent="0.2">
      <c r="A65" s="107" t="s">
        <v>116</v>
      </c>
      <c r="B65" s="107" t="s">
        <v>117</v>
      </c>
      <c r="C65" s="107" t="s">
        <v>48</v>
      </c>
      <c r="E65" s="106" t="s">
        <v>322</v>
      </c>
      <c r="F65" s="106" t="s">
        <v>1465</v>
      </c>
    </row>
    <row r="66" spans="1:6" x14ac:dyDescent="0.2">
      <c r="A66" s="107" t="s">
        <v>296</v>
      </c>
      <c r="B66" s="107" t="s">
        <v>758</v>
      </c>
      <c r="C66" s="107" t="s">
        <v>19</v>
      </c>
      <c r="E66" s="106" t="s">
        <v>362</v>
      </c>
      <c r="F66" s="106" t="s">
        <v>1489</v>
      </c>
    </row>
    <row r="67" spans="1:6" x14ac:dyDescent="0.2">
      <c r="A67" s="107" t="s">
        <v>120</v>
      </c>
      <c r="B67" s="107" t="s">
        <v>121</v>
      </c>
      <c r="C67" s="107" t="s">
        <v>2269</v>
      </c>
      <c r="E67" s="106" t="s">
        <v>1512</v>
      </c>
      <c r="F67" s="106" t="s">
        <v>1513</v>
      </c>
    </row>
    <row r="68" spans="1:6" x14ac:dyDescent="0.2">
      <c r="A68" s="107" t="s">
        <v>122</v>
      </c>
      <c r="B68" s="107" t="s">
        <v>123</v>
      </c>
      <c r="C68" s="107" t="s">
        <v>2269</v>
      </c>
      <c r="E68" s="106" t="s">
        <v>324</v>
      </c>
      <c r="F68" s="106" t="s">
        <v>1559</v>
      </c>
    </row>
    <row r="69" spans="1:6" x14ac:dyDescent="0.2">
      <c r="A69" s="107" t="s">
        <v>126</v>
      </c>
      <c r="B69" s="107" t="s">
        <v>127</v>
      </c>
      <c r="C69" s="107" t="s">
        <v>2268</v>
      </c>
      <c r="E69" s="106" t="s">
        <v>316</v>
      </c>
      <c r="F69" s="106" t="s">
        <v>1577</v>
      </c>
    </row>
    <row r="70" spans="1:6" x14ac:dyDescent="0.2">
      <c r="A70" s="107" t="s">
        <v>124</v>
      </c>
      <c r="B70" s="107" t="s">
        <v>125</v>
      </c>
      <c r="C70" s="107" t="s">
        <v>2268</v>
      </c>
      <c r="E70" s="106" t="s">
        <v>362</v>
      </c>
      <c r="F70" s="106" t="s">
        <v>1582</v>
      </c>
    </row>
    <row r="71" spans="1:6" x14ac:dyDescent="0.2">
      <c r="A71" s="107" t="s">
        <v>128</v>
      </c>
      <c r="B71" s="107" t="s">
        <v>129</v>
      </c>
      <c r="C71" s="107" t="s">
        <v>48</v>
      </c>
      <c r="E71" s="106" t="s">
        <v>314</v>
      </c>
      <c r="F71" s="106" t="s">
        <v>1619</v>
      </c>
    </row>
    <row r="72" spans="1:6" x14ac:dyDescent="0.2">
      <c r="A72" s="107" t="s">
        <v>130</v>
      </c>
      <c r="B72" s="107" t="s">
        <v>131</v>
      </c>
      <c r="C72" s="107" t="s">
        <v>24</v>
      </c>
      <c r="E72" s="106" t="s">
        <v>313</v>
      </c>
      <c r="F72" s="106" t="s">
        <v>1673</v>
      </c>
    </row>
    <row r="73" spans="1:6" x14ac:dyDescent="0.2">
      <c r="A73" s="107" t="s">
        <v>304</v>
      </c>
      <c r="B73" s="107" t="s">
        <v>2691</v>
      </c>
      <c r="C73" s="107" t="s">
        <v>2268</v>
      </c>
      <c r="E73" s="106" t="s">
        <v>324</v>
      </c>
      <c r="F73" s="106" t="s">
        <v>1686</v>
      </c>
    </row>
    <row r="74" spans="1:6" x14ac:dyDescent="0.2">
      <c r="A74" s="107" t="s">
        <v>132</v>
      </c>
      <c r="B74" s="107" t="s">
        <v>133</v>
      </c>
      <c r="C74" s="107" t="s">
        <v>2268</v>
      </c>
      <c r="E74" s="106" t="s">
        <v>313</v>
      </c>
      <c r="F74" s="106" t="s">
        <v>1804</v>
      </c>
    </row>
    <row r="75" spans="1:6" x14ac:dyDescent="0.2">
      <c r="A75" s="107" t="s">
        <v>134</v>
      </c>
      <c r="B75" s="107" t="s">
        <v>135</v>
      </c>
      <c r="C75" s="107" t="s">
        <v>2268</v>
      </c>
      <c r="E75" s="106" t="s">
        <v>1821</v>
      </c>
      <c r="F75" s="106" t="s">
        <v>1822</v>
      </c>
    </row>
    <row r="76" spans="1:6" x14ac:dyDescent="0.2">
      <c r="A76" s="107" t="s">
        <v>136</v>
      </c>
      <c r="B76" s="107" t="s">
        <v>137</v>
      </c>
      <c r="C76" s="107" t="s">
        <v>2268</v>
      </c>
      <c r="E76" s="106" t="s">
        <v>312</v>
      </c>
      <c r="F76" s="106" t="s">
        <v>1913</v>
      </c>
    </row>
    <row r="77" spans="1:6" x14ac:dyDescent="0.2">
      <c r="A77" s="107" t="s">
        <v>138</v>
      </c>
      <c r="B77" s="107" t="s">
        <v>139</v>
      </c>
      <c r="C77" s="107" t="s">
        <v>19</v>
      </c>
      <c r="E77" s="106" t="s">
        <v>313</v>
      </c>
      <c r="F77" s="106" t="s">
        <v>1917</v>
      </c>
    </row>
    <row r="78" spans="1:6" x14ac:dyDescent="0.2">
      <c r="A78" s="107" t="s">
        <v>140</v>
      </c>
      <c r="B78" s="107" t="s">
        <v>18</v>
      </c>
      <c r="C78" s="107" t="s">
        <v>24</v>
      </c>
      <c r="E78" s="106" t="s">
        <v>893</v>
      </c>
      <c r="F78" s="106" t="s">
        <v>1920</v>
      </c>
    </row>
    <row r="79" spans="1:6" x14ac:dyDescent="0.2">
      <c r="A79" s="107" t="s">
        <v>141</v>
      </c>
      <c r="B79" s="107" t="s">
        <v>79</v>
      </c>
      <c r="C79" s="107" t="s">
        <v>2269</v>
      </c>
      <c r="E79" s="106" t="s">
        <v>319</v>
      </c>
      <c r="F79" s="106" t="s">
        <v>1924</v>
      </c>
    </row>
    <row r="80" spans="1:6" x14ac:dyDescent="0.2">
      <c r="A80" s="107" t="s">
        <v>142</v>
      </c>
      <c r="B80" s="107" t="s">
        <v>98</v>
      </c>
      <c r="C80" s="107" t="s">
        <v>2268</v>
      </c>
      <c r="E80" s="106" t="s">
        <v>329</v>
      </c>
      <c r="F80" s="106" t="s">
        <v>1935</v>
      </c>
    </row>
    <row r="81" spans="1:6" x14ac:dyDescent="0.2">
      <c r="A81" s="107" t="s">
        <v>143</v>
      </c>
      <c r="B81" s="107" t="s">
        <v>144</v>
      </c>
      <c r="C81" s="107" t="s">
        <v>2269</v>
      </c>
      <c r="E81" s="106" t="s">
        <v>315</v>
      </c>
      <c r="F81" s="106" t="s">
        <v>2017</v>
      </c>
    </row>
    <row r="82" spans="1:6" x14ac:dyDescent="0.2">
      <c r="A82" s="107" t="s">
        <v>146</v>
      </c>
      <c r="B82" s="107" t="s">
        <v>147</v>
      </c>
      <c r="C82" s="107" t="s">
        <v>2268</v>
      </c>
      <c r="E82" s="106" t="s">
        <v>310</v>
      </c>
      <c r="F82" s="106" t="s">
        <v>2046</v>
      </c>
    </row>
    <row r="83" spans="1:6" x14ac:dyDescent="0.2">
      <c r="A83" s="107" t="s">
        <v>148</v>
      </c>
      <c r="B83" s="107" t="s">
        <v>149</v>
      </c>
      <c r="C83" s="107" t="s">
        <v>2269</v>
      </c>
      <c r="E83" s="106" t="s">
        <v>324</v>
      </c>
      <c r="F83" s="106" t="s">
        <v>2059</v>
      </c>
    </row>
    <row r="84" spans="1:6" x14ac:dyDescent="0.2">
      <c r="A84" s="107" t="s">
        <v>150</v>
      </c>
      <c r="B84" s="107" t="s">
        <v>96</v>
      </c>
      <c r="C84" s="107" t="s">
        <v>34</v>
      </c>
      <c r="E84" s="106" t="s">
        <v>893</v>
      </c>
      <c r="F84" s="106" t="s">
        <v>2063</v>
      </c>
    </row>
    <row r="85" spans="1:6" x14ac:dyDescent="0.2">
      <c r="A85" s="107" t="s">
        <v>151</v>
      </c>
      <c r="B85" s="107" t="s">
        <v>1061</v>
      </c>
      <c r="C85" s="107" t="s">
        <v>2269</v>
      </c>
      <c r="E85" s="106" t="s">
        <v>1033</v>
      </c>
      <c r="F85" s="106" t="s">
        <v>584</v>
      </c>
    </row>
    <row r="86" spans="1:6" x14ac:dyDescent="0.2">
      <c r="A86" s="107" t="s">
        <v>153</v>
      </c>
      <c r="B86" s="107" t="s">
        <v>125</v>
      </c>
      <c r="C86" s="107" t="s">
        <v>2268</v>
      </c>
      <c r="E86" s="106" t="s">
        <v>318</v>
      </c>
      <c r="F86" s="106" t="s">
        <v>2178</v>
      </c>
    </row>
    <row r="87" spans="1:6" x14ac:dyDescent="0.2">
      <c r="A87" s="107" t="s">
        <v>154</v>
      </c>
      <c r="B87" s="107" t="s">
        <v>2274</v>
      </c>
      <c r="C87" s="107" t="s">
        <v>2269</v>
      </c>
      <c r="E87" s="106" t="s">
        <v>319</v>
      </c>
      <c r="F87" s="106" t="s">
        <v>2219</v>
      </c>
    </row>
    <row r="88" spans="1:6" x14ac:dyDescent="0.2">
      <c r="A88" s="107" t="s">
        <v>155</v>
      </c>
      <c r="B88" s="107" t="s">
        <v>156</v>
      </c>
      <c r="C88" s="107" t="s">
        <v>2269</v>
      </c>
      <c r="E88" s="106" t="s">
        <v>313</v>
      </c>
      <c r="F88" s="106" t="s">
        <v>2858</v>
      </c>
    </row>
    <row r="89" spans="1:6" x14ac:dyDescent="0.2">
      <c r="A89" s="107" t="s">
        <v>157</v>
      </c>
      <c r="B89" s="107" t="s">
        <v>158</v>
      </c>
      <c r="C89" s="107" t="s">
        <v>159</v>
      </c>
      <c r="E89" s="106" t="s">
        <v>314</v>
      </c>
      <c r="F89" s="106" t="s">
        <v>2243</v>
      </c>
    </row>
    <row r="90" spans="1:6" x14ac:dyDescent="0.2">
      <c r="A90" s="107" t="s">
        <v>160</v>
      </c>
      <c r="B90" s="107" t="s">
        <v>596</v>
      </c>
      <c r="C90" s="107" t="s">
        <v>2268</v>
      </c>
      <c r="E90" s="106" t="s">
        <v>329</v>
      </c>
      <c r="F90" s="106" t="s">
        <v>2293</v>
      </c>
    </row>
    <row r="91" spans="1:6" x14ac:dyDescent="0.2">
      <c r="A91" s="107" t="s">
        <v>162</v>
      </c>
      <c r="B91" s="107" t="s">
        <v>163</v>
      </c>
      <c r="C91" s="107" t="s">
        <v>2269</v>
      </c>
      <c r="E91" s="106" t="s">
        <v>327</v>
      </c>
      <c r="F91" s="106" t="s">
        <v>2299</v>
      </c>
    </row>
    <row r="92" spans="1:6" x14ac:dyDescent="0.2">
      <c r="A92" s="107" t="s">
        <v>164</v>
      </c>
      <c r="B92" s="107" t="s">
        <v>18</v>
      </c>
      <c r="C92" s="107" t="s">
        <v>2268</v>
      </c>
      <c r="E92" s="106" t="s">
        <v>318</v>
      </c>
      <c r="F92" s="106" t="s">
        <v>2307</v>
      </c>
    </row>
    <row r="93" spans="1:6" x14ac:dyDescent="0.2">
      <c r="A93" s="107" t="s">
        <v>165</v>
      </c>
      <c r="B93" s="107" t="s">
        <v>166</v>
      </c>
      <c r="C93" s="107" t="s">
        <v>2269</v>
      </c>
      <c r="E93" s="106" t="s">
        <v>324</v>
      </c>
      <c r="F93" s="106" t="s">
        <v>2314</v>
      </c>
    </row>
    <row r="94" spans="1:6" x14ac:dyDescent="0.2">
      <c r="A94" s="107" t="s">
        <v>288</v>
      </c>
      <c r="B94" s="107" t="s">
        <v>353</v>
      </c>
      <c r="C94" s="107" t="s">
        <v>2269</v>
      </c>
      <c r="E94" s="106" t="s">
        <v>330</v>
      </c>
      <c r="F94" s="106" t="s">
        <v>2317</v>
      </c>
    </row>
    <row r="95" spans="1:6" x14ac:dyDescent="0.2">
      <c r="A95" s="107" t="s">
        <v>167</v>
      </c>
      <c r="B95" s="107" t="s">
        <v>168</v>
      </c>
      <c r="C95" s="107" t="s">
        <v>48</v>
      </c>
      <c r="E95" s="106" t="s">
        <v>2465</v>
      </c>
      <c r="F95" s="106" t="s">
        <v>2466</v>
      </c>
    </row>
    <row r="96" spans="1:6" x14ac:dyDescent="0.2">
      <c r="A96" s="107" t="s">
        <v>169</v>
      </c>
      <c r="B96" s="107" t="s">
        <v>21</v>
      </c>
      <c r="C96" s="107" t="s">
        <v>2268</v>
      </c>
      <c r="E96" s="106" t="s">
        <v>310</v>
      </c>
      <c r="F96" s="106" t="s">
        <v>2487</v>
      </c>
    </row>
    <row r="97" spans="1:6" x14ac:dyDescent="0.2">
      <c r="A97" s="107" t="s">
        <v>170</v>
      </c>
      <c r="B97" s="107" t="s">
        <v>145</v>
      </c>
      <c r="C97" s="107" t="s">
        <v>2269</v>
      </c>
      <c r="E97" s="106" t="s">
        <v>893</v>
      </c>
      <c r="F97" s="106" t="s">
        <v>2538</v>
      </c>
    </row>
    <row r="98" spans="1:6" x14ac:dyDescent="0.2">
      <c r="A98" s="107" t="s">
        <v>171</v>
      </c>
      <c r="B98" s="107" t="s">
        <v>21</v>
      </c>
      <c r="C98" s="107" t="s">
        <v>172</v>
      </c>
      <c r="E98" s="106" t="s">
        <v>315</v>
      </c>
      <c r="F98" s="106" t="s">
        <v>2605</v>
      </c>
    </row>
    <row r="99" spans="1:6" x14ac:dyDescent="0.2">
      <c r="A99" s="107" t="s">
        <v>173</v>
      </c>
      <c r="B99" s="107" t="s">
        <v>21</v>
      </c>
      <c r="C99" s="107" t="s">
        <v>2268</v>
      </c>
      <c r="E99" s="106" t="s">
        <v>2613</v>
      </c>
      <c r="F99" s="106" t="s">
        <v>2614</v>
      </c>
    </row>
    <row r="100" spans="1:6" x14ac:dyDescent="0.2">
      <c r="A100" s="107" t="s">
        <v>174</v>
      </c>
      <c r="B100" s="107" t="s">
        <v>70</v>
      </c>
      <c r="C100" s="107" t="s">
        <v>2269</v>
      </c>
      <c r="E100" s="106" t="s">
        <v>2620</v>
      </c>
      <c r="F100" s="106" t="s">
        <v>1316</v>
      </c>
    </row>
    <row r="101" spans="1:6" x14ac:dyDescent="0.2">
      <c r="A101" s="107" t="s">
        <v>175</v>
      </c>
      <c r="B101" s="107" t="s">
        <v>176</v>
      </c>
      <c r="C101" s="107" t="s">
        <v>2269</v>
      </c>
      <c r="E101" s="106" t="s">
        <v>362</v>
      </c>
      <c r="F101" s="106" t="s">
        <v>2835</v>
      </c>
    </row>
    <row r="102" spans="1:6" x14ac:dyDescent="0.2">
      <c r="A102" s="107" t="s">
        <v>270</v>
      </c>
      <c r="B102" s="107" t="s">
        <v>271</v>
      </c>
      <c r="C102" s="107" t="s">
        <v>2268</v>
      </c>
    </row>
    <row r="103" spans="1:6" x14ac:dyDescent="0.2">
      <c r="A103" s="107" t="s">
        <v>177</v>
      </c>
      <c r="B103" s="107" t="s">
        <v>18</v>
      </c>
      <c r="C103" s="107" t="s">
        <v>19</v>
      </c>
    </row>
    <row r="104" spans="1:6" x14ac:dyDescent="0.2">
      <c r="A104" s="107" t="s">
        <v>178</v>
      </c>
      <c r="B104" s="107" t="s">
        <v>179</v>
      </c>
      <c r="C104" s="107" t="s">
        <v>2269</v>
      </c>
    </row>
    <row r="105" spans="1:6" x14ac:dyDescent="0.2">
      <c r="A105" s="107" t="s">
        <v>180</v>
      </c>
      <c r="B105" s="107" t="s">
        <v>181</v>
      </c>
      <c r="C105" s="107" t="s">
        <v>2268</v>
      </c>
    </row>
    <row r="106" spans="1:6" x14ac:dyDescent="0.2">
      <c r="A106" s="107" t="s">
        <v>182</v>
      </c>
      <c r="B106" s="107" t="s">
        <v>183</v>
      </c>
      <c r="C106" s="107" t="s">
        <v>2268</v>
      </c>
    </row>
    <row r="107" spans="1:6" x14ac:dyDescent="0.2">
      <c r="A107" s="107" t="s">
        <v>272</v>
      </c>
      <c r="B107" s="107" t="s">
        <v>273</v>
      </c>
      <c r="C107" s="107" t="s">
        <v>2269</v>
      </c>
    </row>
    <row r="108" spans="1:6" x14ac:dyDescent="0.2">
      <c r="A108" s="107" t="s">
        <v>184</v>
      </c>
      <c r="B108" s="107" t="s">
        <v>89</v>
      </c>
      <c r="C108" s="107" t="s">
        <v>19</v>
      </c>
    </row>
    <row r="109" spans="1:6" x14ac:dyDescent="0.2">
      <c r="A109" s="107" t="s">
        <v>293</v>
      </c>
      <c r="B109" s="107" t="s">
        <v>294</v>
      </c>
      <c r="C109" s="107" t="s">
        <v>2268</v>
      </c>
    </row>
    <row r="110" spans="1:6" x14ac:dyDescent="0.2">
      <c r="A110" s="107" t="s">
        <v>185</v>
      </c>
      <c r="B110" s="107" t="s">
        <v>115</v>
      </c>
      <c r="C110" s="107" t="s">
        <v>24</v>
      </c>
    </row>
    <row r="111" spans="1:6" x14ac:dyDescent="0.2">
      <c r="A111" s="107" t="s">
        <v>186</v>
      </c>
      <c r="B111" s="107" t="s">
        <v>187</v>
      </c>
      <c r="C111" s="107" t="s">
        <v>24</v>
      </c>
    </row>
    <row r="112" spans="1:6" x14ac:dyDescent="0.2">
      <c r="A112" s="107" t="s">
        <v>188</v>
      </c>
      <c r="B112" s="107" t="s">
        <v>189</v>
      </c>
      <c r="C112" s="107" t="s">
        <v>34</v>
      </c>
    </row>
    <row r="113" spans="1:3" x14ac:dyDescent="0.2">
      <c r="A113" s="107" t="s">
        <v>190</v>
      </c>
      <c r="B113" s="107" t="s">
        <v>191</v>
      </c>
      <c r="C113" s="107" t="s">
        <v>2269</v>
      </c>
    </row>
    <row r="114" spans="1:3" x14ac:dyDescent="0.2">
      <c r="A114" s="107" t="s">
        <v>192</v>
      </c>
      <c r="B114" s="108" t="s">
        <v>1125</v>
      </c>
      <c r="C114" s="107" t="s">
        <v>2268</v>
      </c>
    </row>
    <row r="115" spans="1:3" x14ac:dyDescent="0.2">
      <c r="A115" s="107" t="s">
        <v>193</v>
      </c>
      <c r="B115" s="107" t="s">
        <v>194</v>
      </c>
      <c r="C115" s="107" t="s">
        <v>19</v>
      </c>
    </row>
    <row r="116" spans="1:3" x14ac:dyDescent="0.2">
      <c r="A116" s="107" t="s">
        <v>195</v>
      </c>
      <c r="B116" s="107" t="s">
        <v>127</v>
      </c>
      <c r="C116" s="107" t="s">
        <v>2268</v>
      </c>
    </row>
    <row r="117" spans="1:3" x14ac:dyDescent="0.2">
      <c r="A117" s="107" t="s">
        <v>274</v>
      </c>
      <c r="B117" s="107" t="s">
        <v>36</v>
      </c>
      <c r="C117" s="107" t="s">
        <v>2269</v>
      </c>
    </row>
    <row r="118" spans="1:3" x14ac:dyDescent="0.2">
      <c r="A118" s="107" t="s">
        <v>196</v>
      </c>
      <c r="B118" s="107" t="s">
        <v>98</v>
      </c>
      <c r="C118" s="107" t="s">
        <v>2269</v>
      </c>
    </row>
    <row r="119" spans="1:3" x14ac:dyDescent="0.2">
      <c r="A119" s="107" t="s">
        <v>197</v>
      </c>
      <c r="B119" s="107" t="s">
        <v>198</v>
      </c>
      <c r="C119" s="107" t="s">
        <v>34</v>
      </c>
    </row>
    <row r="120" spans="1:3" x14ac:dyDescent="0.2">
      <c r="A120" s="107" t="s">
        <v>199</v>
      </c>
      <c r="B120" s="107" t="s">
        <v>98</v>
      </c>
      <c r="C120" s="107" t="s">
        <v>159</v>
      </c>
    </row>
    <row r="121" spans="1:3" x14ac:dyDescent="0.2">
      <c r="A121" s="107" t="s">
        <v>200</v>
      </c>
      <c r="B121" s="107" t="s">
        <v>98</v>
      </c>
      <c r="C121" s="107" t="s">
        <v>159</v>
      </c>
    </row>
    <row r="122" spans="1:3" x14ac:dyDescent="0.2">
      <c r="A122" s="107" t="s">
        <v>201</v>
      </c>
      <c r="B122" s="107" t="s">
        <v>202</v>
      </c>
      <c r="C122" s="107" t="s">
        <v>24</v>
      </c>
    </row>
    <row r="123" spans="1:3" x14ac:dyDescent="0.2">
      <c r="A123" s="107" t="s">
        <v>203</v>
      </c>
      <c r="B123" s="107" t="s">
        <v>204</v>
      </c>
      <c r="C123" s="107" t="s">
        <v>159</v>
      </c>
    </row>
    <row r="124" spans="1:3" x14ac:dyDescent="0.2">
      <c r="A124" s="107" t="s">
        <v>205</v>
      </c>
      <c r="B124" s="107" t="s">
        <v>206</v>
      </c>
      <c r="C124" s="107" t="s">
        <v>2268</v>
      </c>
    </row>
    <row r="125" spans="1:3" x14ac:dyDescent="0.2">
      <c r="A125" s="107" t="s">
        <v>207</v>
      </c>
      <c r="B125" s="107" t="s">
        <v>208</v>
      </c>
      <c r="C125" s="107" t="s">
        <v>2268</v>
      </c>
    </row>
    <row r="126" spans="1:3" x14ac:dyDescent="0.2">
      <c r="A126" s="107" t="s">
        <v>209</v>
      </c>
      <c r="B126" s="107" t="s">
        <v>1168</v>
      </c>
      <c r="C126" s="107" t="s">
        <v>24</v>
      </c>
    </row>
    <row r="127" spans="1:3" x14ac:dyDescent="0.2">
      <c r="A127" s="107" t="s">
        <v>210</v>
      </c>
      <c r="B127" s="107" t="s">
        <v>98</v>
      </c>
      <c r="C127" s="107" t="s">
        <v>2268</v>
      </c>
    </row>
    <row r="128" spans="1:3" x14ac:dyDescent="0.2">
      <c r="A128" s="107" t="s">
        <v>211</v>
      </c>
      <c r="B128" s="107" t="s">
        <v>96</v>
      </c>
      <c r="C128" s="107" t="s">
        <v>34</v>
      </c>
    </row>
    <row r="129" spans="1:3" x14ac:dyDescent="0.2">
      <c r="A129" s="107" t="s">
        <v>212</v>
      </c>
      <c r="B129" s="107" t="s">
        <v>213</v>
      </c>
      <c r="C129" s="107" t="s">
        <v>2269</v>
      </c>
    </row>
    <row r="130" spans="1:3" x14ac:dyDescent="0.2">
      <c r="A130" s="107" t="s">
        <v>292</v>
      </c>
      <c r="B130" s="107" t="s">
        <v>2061</v>
      </c>
      <c r="C130" s="107" t="s">
        <v>2268</v>
      </c>
    </row>
    <row r="131" spans="1:3" x14ac:dyDescent="0.2">
      <c r="A131" s="107" t="s">
        <v>214</v>
      </c>
      <c r="B131" s="107" t="s">
        <v>215</v>
      </c>
      <c r="C131" s="107" t="s">
        <v>2268</v>
      </c>
    </row>
    <row r="132" spans="1:3" x14ac:dyDescent="0.2">
      <c r="A132" s="107" t="s">
        <v>216</v>
      </c>
      <c r="B132" s="107" t="s">
        <v>217</v>
      </c>
      <c r="C132" s="107" t="s">
        <v>2269</v>
      </c>
    </row>
    <row r="133" spans="1:3" x14ac:dyDescent="0.2">
      <c r="A133" s="107" t="s">
        <v>218</v>
      </c>
      <c r="B133" s="107" t="s">
        <v>127</v>
      </c>
      <c r="C133" s="107" t="s">
        <v>2268</v>
      </c>
    </row>
    <row r="134" spans="1:3" x14ac:dyDescent="0.2">
      <c r="A134" s="107" t="s">
        <v>219</v>
      </c>
      <c r="B134" s="107" t="s">
        <v>1908</v>
      </c>
      <c r="C134" s="107" t="s">
        <v>2269</v>
      </c>
    </row>
    <row r="135" spans="1:3" x14ac:dyDescent="0.2">
      <c r="A135" s="107" t="s">
        <v>220</v>
      </c>
      <c r="B135" s="107" t="s">
        <v>739</v>
      </c>
      <c r="C135" s="107" t="s">
        <v>2269</v>
      </c>
    </row>
    <row r="136" spans="1:3" x14ac:dyDescent="0.2">
      <c r="A136" s="107" t="s">
        <v>221</v>
      </c>
      <c r="B136" s="107" t="s">
        <v>222</v>
      </c>
      <c r="C136" s="107" t="s">
        <v>2268</v>
      </c>
    </row>
    <row r="137" spans="1:3" x14ac:dyDescent="0.2">
      <c r="A137" s="107" t="s">
        <v>223</v>
      </c>
      <c r="B137" s="107" t="s">
        <v>224</v>
      </c>
      <c r="C137" s="107" t="s">
        <v>2268</v>
      </c>
    </row>
    <row r="138" spans="1:3" x14ac:dyDescent="0.2">
      <c r="A138" s="107" t="s">
        <v>225</v>
      </c>
      <c r="B138" s="107" t="s">
        <v>2275</v>
      </c>
      <c r="C138" s="107" t="s">
        <v>2269</v>
      </c>
    </row>
    <row r="139" spans="1:3" x14ac:dyDescent="0.2">
      <c r="A139" s="107" t="s">
        <v>227</v>
      </c>
      <c r="B139" s="107" t="s">
        <v>93</v>
      </c>
      <c r="C139" s="107" t="s">
        <v>2269</v>
      </c>
    </row>
    <row r="140" spans="1:3" x14ac:dyDescent="0.2">
      <c r="A140" s="107" t="s">
        <v>228</v>
      </c>
      <c r="B140" s="107" t="s">
        <v>2276</v>
      </c>
      <c r="C140" s="107" t="s">
        <v>19</v>
      </c>
    </row>
    <row r="141" spans="1:3" x14ac:dyDescent="0.2">
      <c r="A141" s="107" t="s">
        <v>230</v>
      </c>
      <c r="B141" s="107" t="s">
        <v>231</v>
      </c>
      <c r="C141" s="107" t="s">
        <v>2268</v>
      </c>
    </row>
    <row r="142" spans="1:3" x14ac:dyDescent="0.2">
      <c r="A142" s="107" t="s">
        <v>295</v>
      </c>
      <c r="B142" s="107" t="s">
        <v>849</v>
      </c>
      <c r="C142" s="107" t="s">
        <v>2269</v>
      </c>
    </row>
    <row r="143" spans="1:3" x14ac:dyDescent="0.2">
      <c r="A143" s="107" t="s">
        <v>268</v>
      </c>
      <c r="B143" s="107" t="s">
        <v>269</v>
      </c>
      <c r="C143" s="107" t="s">
        <v>24</v>
      </c>
    </row>
    <row r="144" spans="1:3" x14ac:dyDescent="0.2">
      <c r="A144" s="107" t="s">
        <v>232</v>
      </c>
      <c r="B144" s="107" t="s">
        <v>482</v>
      </c>
      <c r="C144" s="107" t="s">
        <v>34</v>
      </c>
    </row>
    <row r="145" spans="1:3" x14ac:dyDescent="0.2">
      <c r="A145" s="107" t="s">
        <v>233</v>
      </c>
      <c r="B145" s="107" t="s">
        <v>234</v>
      </c>
      <c r="C145" s="107" t="s">
        <v>2268</v>
      </c>
    </row>
    <row r="146" spans="1:3" x14ac:dyDescent="0.2">
      <c r="A146" s="107" t="s">
        <v>235</v>
      </c>
      <c r="B146" s="107" t="s">
        <v>2277</v>
      </c>
      <c r="C146" s="107" t="s">
        <v>236</v>
      </c>
    </row>
    <row r="147" spans="1:3" x14ac:dyDescent="0.2">
      <c r="A147" s="107" t="s">
        <v>237</v>
      </c>
      <c r="B147" s="107" t="s">
        <v>98</v>
      </c>
      <c r="C147" s="107" t="s">
        <v>2269</v>
      </c>
    </row>
    <row r="148" spans="1:3" x14ac:dyDescent="0.2">
      <c r="A148" s="107" t="s">
        <v>238</v>
      </c>
      <c r="B148" s="107" t="s">
        <v>194</v>
      </c>
      <c r="C148" s="107" t="s">
        <v>2269</v>
      </c>
    </row>
    <row r="149" spans="1:3" x14ac:dyDescent="0.2">
      <c r="A149" s="107" t="s">
        <v>284</v>
      </c>
      <c r="B149" s="107" t="s">
        <v>285</v>
      </c>
      <c r="C149" s="107" t="s">
        <v>2269</v>
      </c>
    </row>
    <row r="150" spans="1:3" x14ac:dyDescent="0.2">
      <c r="A150" s="107" t="s">
        <v>239</v>
      </c>
      <c r="B150" s="107" t="s">
        <v>240</v>
      </c>
      <c r="C150" s="107" t="s">
        <v>2268</v>
      </c>
    </row>
    <row r="151" spans="1:3" x14ac:dyDescent="0.2">
      <c r="A151" s="107" t="s">
        <v>241</v>
      </c>
      <c r="B151" s="107" t="s">
        <v>1487</v>
      </c>
      <c r="C151" s="107" t="s">
        <v>2269</v>
      </c>
    </row>
    <row r="152" spans="1:3" x14ac:dyDescent="0.2">
      <c r="A152" s="107" t="s">
        <v>242</v>
      </c>
      <c r="B152" s="107" t="s">
        <v>41</v>
      </c>
      <c r="C152" s="107" t="s">
        <v>2269</v>
      </c>
    </row>
    <row r="153" spans="1:3" x14ac:dyDescent="0.2">
      <c r="A153" s="107" t="s">
        <v>303</v>
      </c>
      <c r="B153" s="107" t="s">
        <v>2278</v>
      </c>
      <c r="C153" s="107" t="s">
        <v>2268</v>
      </c>
    </row>
    <row r="154" spans="1:3" x14ac:dyDescent="0.2">
      <c r="A154" s="107" t="s">
        <v>243</v>
      </c>
      <c r="B154" s="107" t="s">
        <v>244</v>
      </c>
      <c r="C154" s="107" t="s">
        <v>48</v>
      </c>
    </row>
    <row r="155" spans="1:3" x14ac:dyDescent="0.2">
      <c r="A155" s="107" t="s">
        <v>277</v>
      </c>
      <c r="B155" s="107" t="s">
        <v>278</v>
      </c>
      <c r="C155" s="107" t="s">
        <v>19</v>
      </c>
    </row>
    <row r="156" spans="1:3" x14ac:dyDescent="0.2">
      <c r="A156" s="107" t="s">
        <v>245</v>
      </c>
      <c r="B156" s="107" t="s">
        <v>152</v>
      </c>
      <c r="C156" s="107" t="s">
        <v>2269</v>
      </c>
    </row>
    <row r="157" spans="1:3" x14ac:dyDescent="0.2">
      <c r="A157" s="107" t="s">
        <v>246</v>
      </c>
      <c r="B157" s="107" t="s">
        <v>59</v>
      </c>
      <c r="C157" s="107" t="s">
        <v>34</v>
      </c>
    </row>
    <row r="158" spans="1:3" x14ac:dyDescent="0.2">
      <c r="A158" s="107" t="s">
        <v>247</v>
      </c>
      <c r="B158" s="107" t="s">
        <v>248</v>
      </c>
      <c r="C158" s="107" t="s">
        <v>2268</v>
      </c>
    </row>
    <row r="159" spans="1:3" x14ac:dyDescent="0.2">
      <c r="A159" s="107" t="s">
        <v>249</v>
      </c>
      <c r="B159" s="107" t="s">
        <v>250</v>
      </c>
      <c r="C159" s="107" t="s">
        <v>2268</v>
      </c>
    </row>
    <row r="160" spans="1:3" x14ac:dyDescent="0.2">
      <c r="A160" s="107" t="s">
        <v>299</v>
      </c>
      <c r="B160" s="107" t="s">
        <v>300</v>
      </c>
      <c r="C160" s="107" t="s">
        <v>2269</v>
      </c>
    </row>
    <row r="161" spans="1:3" x14ac:dyDescent="0.2">
      <c r="A161" s="107" t="s">
        <v>251</v>
      </c>
      <c r="B161" s="107" t="s">
        <v>1911</v>
      </c>
      <c r="C161" s="107" t="s">
        <v>19</v>
      </c>
    </row>
    <row r="162" spans="1:3" x14ac:dyDescent="0.2">
      <c r="A162" s="107" t="s">
        <v>252</v>
      </c>
      <c r="B162" s="107" t="s">
        <v>18</v>
      </c>
      <c r="C162" s="107" t="s">
        <v>19</v>
      </c>
    </row>
    <row r="163" spans="1:3" x14ac:dyDescent="0.2">
      <c r="A163" s="107" t="s">
        <v>253</v>
      </c>
      <c r="B163" s="107" t="s">
        <v>254</v>
      </c>
      <c r="C163" s="107" t="s">
        <v>2269</v>
      </c>
    </row>
    <row r="164" spans="1:3" x14ac:dyDescent="0.2">
      <c r="A164" s="107" t="s">
        <v>255</v>
      </c>
      <c r="B164" s="107" t="s">
        <v>256</v>
      </c>
      <c r="C164" s="107" t="s">
        <v>2269</v>
      </c>
    </row>
    <row r="165" spans="1:3" x14ac:dyDescent="0.2">
      <c r="A165" s="107" t="s">
        <v>260</v>
      </c>
      <c r="B165" s="107" t="s">
        <v>261</v>
      </c>
      <c r="C165" s="107" t="s">
        <v>48</v>
      </c>
    </row>
    <row r="166" spans="1:3" x14ac:dyDescent="0.2">
      <c r="A166" s="107" t="s">
        <v>262</v>
      </c>
      <c r="B166" s="107" t="s">
        <v>217</v>
      </c>
      <c r="C166" s="107" t="s">
        <v>2268</v>
      </c>
    </row>
    <row r="167" spans="1:3" x14ac:dyDescent="0.2">
      <c r="A167" s="107" t="s">
        <v>257</v>
      </c>
      <c r="B167" s="107" t="s">
        <v>258</v>
      </c>
      <c r="C167" s="107" t="s">
        <v>2268</v>
      </c>
    </row>
    <row r="168" spans="1:3" x14ac:dyDescent="0.2">
      <c r="A168" s="107" t="s">
        <v>259</v>
      </c>
      <c r="B168" s="107" t="s">
        <v>176</v>
      </c>
      <c r="C168" s="107" t="s">
        <v>48</v>
      </c>
    </row>
    <row r="169" spans="1:3" x14ac:dyDescent="0.2">
      <c r="A169" s="107" t="s">
        <v>263</v>
      </c>
      <c r="B169" s="107" t="s">
        <v>217</v>
      </c>
      <c r="C169" s="107" t="s">
        <v>24</v>
      </c>
    </row>
    <row r="170" spans="1:3" x14ac:dyDescent="0.2">
      <c r="A170" s="107" t="s">
        <v>264</v>
      </c>
      <c r="B170" s="107" t="s">
        <v>32</v>
      </c>
      <c r="C170" s="107" t="s">
        <v>2268</v>
      </c>
    </row>
    <row r="171" spans="1:3" x14ac:dyDescent="0.2">
      <c r="A171" s="107" t="s">
        <v>265</v>
      </c>
      <c r="B171" s="107" t="s">
        <v>266</v>
      </c>
      <c r="C171" s="107" t="s">
        <v>19</v>
      </c>
    </row>
    <row r="172" spans="1:3" x14ac:dyDescent="0.2">
      <c r="A172" s="107" t="s">
        <v>520</v>
      </c>
      <c r="B172" s="107" t="s">
        <v>1302</v>
      </c>
      <c r="C172" s="107" t="s">
        <v>2268</v>
      </c>
    </row>
    <row r="173" spans="1:3" x14ac:dyDescent="0.2">
      <c r="A173" s="107" t="s">
        <v>595</v>
      </c>
      <c r="B173" s="107" t="s">
        <v>1312</v>
      </c>
      <c r="C173" s="107" t="s">
        <v>159</v>
      </c>
    </row>
    <row r="174" spans="1:3" x14ac:dyDescent="0.2">
      <c r="A174" s="107" t="s">
        <v>649</v>
      </c>
      <c r="B174" s="107" t="s">
        <v>1454</v>
      </c>
      <c r="C174" s="107" t="s">
        <v>2268</v>
      </c>
    </row>
    <row r="175" spans="1:3" x14ac:dyDescent="0.2">
      <c r="A175" s="107" t="s">
        <v>791</v>
      </c>
      <c r="B175" s="107" t="s">
        <v>1631</v>
      </c>
      <c r="C175" s="107" t="s">
        <v>19</v>
      </c>
    </row>
    <row r="176" spans="1:3" x14ac:dyDescent="0.2">
      <c r="A176" s="107" t="s">
        <v>865</v>
      </c>
      <c r="B176" s="107" t="s">
        <v>873</v>
      </c>
      <c r="C176" s="107" t="s">
        <v>2268</v>
      </c>
    </row>
    <row r="177" spans="1:3" x14ac:dyDescent="0.2">
      <c r="A177" s="107" t="s">
        <v>927</v>
      </c>
      <c r="B177" s="107" t="s">
        <v>1461</v>
      </c>
      <c r="C177" s="107" t="s">
        <v>2268</v>
      </c>
    </row>
    <row r="178" spans="1:3" x14ac:dyDescent="0.2">
      <c r="A178" s="107" t="s">
        <v>1058</v>
      </c>
      <c r="B178" s="107" t="s">
        <v>1672</v>
      </c>
      <c r="C178" s="107" t="s">
        <v>2269</v>
      </c>
    </row>
    <row r="179" spans="1:3" x14ac:dyDescent="0.2">
      <c r="A179" s="107" t="s">
        <v>1097</v>
      </c>
      <c r="B179" s="107" t="s">
        <v>1684</v>
      </c>
      <c r="C179" s="107" t="s">
        <v>48</v>
      </c>
    </row>
    <row r="180" spans="1:3" x14ac:dyDescent="0.2">
      <c r="A180" s="107" t="s">
        <v>1155</v>
      </c>
      <c r="B180" s="107" t="s">
        <v>1915</v>
      </c>
      <c r="C180" s="107" t="s">
        <v>159</v>
      </c>
    </row>
    <row r="181" spans="1:3" x14ac:dyDescent="0.2">
      <c r="A181" s="107" t="s">
        <v>1158</v>
      </c>
      <c r="B181" s="107" t="s">
        <v>1922</v>
      </c>
      <c r="C181" s="107" t="s">
        <v>2268</v>
      </c>
    </row>
    <row r="182" spans="1:3" x14ac:dyDescent="0.2">
      <c r="A182" s="107" t="s">
        <v>1189</v>
      </c>
      <c r="B182" s="107" t="s">
        <v>1936</v>
      </c>
      <c r="C182" s="107" t="s">
        <v>2269</v>
      </c>
    </row>
    <row r="183" spans="1:3" x14ac:dyDescent="0.2">
      <c r="A183" s="107" t="s">
        <v>1192</v>
      </c>
      <c r="B183" s="107" t="s">
        <v>2311</v>
      </c>
      <c r="C183" s="107" t="s">
        <v>24</v>
      </c>
    </row>
    <row r="184" spans="1:3" x14ac:dyDescent="0.2">
      <c r="A184" s="107" t="s">
        <v>1203</v>
      </c>
      <c r="B184" s="107" t="s">
        <v>2176</v>
      </c>
      <c r="C184" s="107" t="s">
        <v>2268</v>
      </c>
    </row>
    <row r="185" spans="1:3" x14ac:dyDescent="0.2">
      <c r="A185" s="107" t="s">
        <v>1252</v>
      </c>
      <c r="B185" s="107" t="s">
        <v>2217</v>
      </c>
      <c r="C185" s="107" t="s">
        <v>48</v>
      </c>
    </row>
    <row r="186" spans="1:3" x14ac:dyDescent="0.2">
      <c r="A186" s="107" t="s">
        <v>1289</v>
      </c>
      <c r="B186" s="107" t="s">
        <v>2294</v>
      </c>
      <c r="C186" s="107" t="s">
        <v>2269</v>
      </c>
    </row>
    <row r="187" spans="1:3" x14ac:dyDescent="0.2">
      <c r="A187" s="107" t="s">
        <v>1361</v>
      </c>
      <c r="B187" s="107" t="s">
        <v>2305</v>
      </c>
      <c r="C187" s="107" t="s">
        <v>2269</v>
      </c>
    </row>
    <row r="188" spans="1:3" x14ac:dyDescent="0.2">
      <c r="A188" s="107" t="s">
        <v>1393</v>
      </c>
      <c r="B188" s="107" t="s">
        <v>2312</v>
      </c>
      <c r="C188" s="107" t="s">
        <v>2268</v>
      </c>
    </row>
    <row r="189" spans="1:3" x14ac:dyDescent="0.2">
      <c r="A189" s="107" t="s">
        <v>1562</v>
      </c>
      <c r="B189" s="107" t="s">
        <v>2611</v>
      </c>
      <c r="C189" s="107" t="s">
        <v>24</v>
      </c>
    </row>
    <row r="190" spans="1:3" x14ac:dyDescent="0.2">
      <c r="A190" s="107" t="s">
        <v>1578</v>
      </c>
      <c r="B190" s="107" t="s">
        <v>1580</v>
      </c>
      <c r="C190" s="107" t="s">
        <v>24</v>
      </c>
    </row>
    <row r="191" spans="1:3" x14ac:dyDescent="0.2">
      <c r="A191" s="107" t="s">
        <v>1639</v>
      </c>
      <c r="B191" s="107" t="s">
        <v>2629</v>
      </c>
      <c r="C191" s="107" t="s">
        <v>19</v>
      </c>
    </row>
    <row r="192" spans="1:3" x14ac:dyDescent="0.2">
      <c r="A192" s="107" t="s">
        <v>1669</v>
      </c>
      <c r="B192" s="107" t="s">
        <v>2833</v>
      </c>
      <c r="C192" s="107" t="s">
        <v>2279</v>
      </c>
    </row>
    <row r="193" spans="1:3" x14ac:dyDescent="0.2">
      <c r="A193" s="107" t="s">
        <v>1683</v>
      </c>
      <c r="B193" s="107" t="s">
        <v>2856</v>
      </c>
      <c r="C193" s="107" t="s">
        <v>2269</v>
      </c>
    </row>
    <row r="194" spans="1:3" x14ac:dyDescent="0.2">
      <c r="A194" s="107" t="s">
        <v>1772</v>
      </c>
      <c r="B194" s="107"/>
      <c r="C194" s="107" t="s">
        <v>2268</v>
      </c>
    </row>
    <row r="195" spans="1:3" x14ac:dyDescent="0.2">
      <c r="A195" s="107" t="s">
        <v>1789</v>
      </c>
      <c r="B195" s="107"/>
      <c r="C195" s="107" t="s">
        <v>1791</v>
      </c>
    </row>
    <row r="196" spans="1:3" x14ac:dyDescent="0.2">
      <c r="A196" s="107" t="s">
        <v>1815</v>
      </c>
      <c r="B196" s="107"/>
      <c r="C196" s="107" t="s">
        <v>19</v>
      </c>
    </row>
    <row r="197" spans="1:3" x14ac:dyDescent="0.2">
      <c r="A197" s="107" t="s">
        <v>1934</v>
      </c>
      <c r="B197" s="107"/>
      <c r="C197" s="107" t="s">
        <v>2269</v>
      </c>
    </row>
    <row r="198" spans="1:3" x14ac:dyDescent="0.2">
      <c r="A198" s="107" t="s">
        <v>2044</v>
      </c>
      <c r="B198" s="107"/>
      <c r="C198" s="107" t="s">
        <v>19</v>
      </c>
    </row>
    <row r="199" spans="1:3" x14ac:dyDescent="0.2">
      <c r="A199" s="107" t="s">
        <v>2056</v>
      </c>
      <c r="B199" s="107"/>
      <c r="C199" s="107" t="s">
        <v>2268</v>
      </c>
    </row>
    <row r="200" spans="1:3" x14ac:dyDescent="0.2">
      <c r="A200" s="107" t="s">
        <v>2247</v>
      </c>
      <c r="B200" s="107"/>
      <c r="C200" s="107" t="s">
        <v>34</v>
      </c>
    </row>
    <row r="201" spans="1:3" x14ac:dyDescent="0.2">
      <c r="A201" s="107" t="s">
        <v>2267</v>
      </c>
      <c r="B201" s="107"/>
      <c r="C201" s="107" t="s">
        <v>2268</v>
      </c>
    </row>
    <row r="202" spans="1:3" x14ac:dyDescent="0.2">
      <c r="A202" s="107" t="s">
        <v>2358</v>
      </c>
      <c r="B202" s="107"/>
      <c r="C202" s="107" t="s">
        <v>2268</v>
      </c>
    </row>
    <row r="203" spans="1:3" x14ac:dyDescent="0.2">
      <c r="A203" s="107" t="s">
        <v>2752</v>
      </c>
      <c r="B203" s="107" t="s">
        <v>2464</v>
      </c>
      <c r="C203" s="107" t="s">
        <v>1791</v>
      </c>
    </row>
    <row r="204" spans="1:3" x14ac:dyDescent="0.2">
      <c r="A204" s="107" t="s">
        <v>2566</v>
      </c>
      <c r="B204" s="107"/>
      <c r="C204" s="107" t="s">
        <v>2268</v>
      </c>
    </row>
    <row r="205" spans="1:3" x14ac:dyDescent="0.2">
      <c r="A205" s="107" t="s">
        <v>2603</v>
      </c>
      <c r="B205" s="107"/>
      <c r="C205" s="107" t="s">
        <v>2268</v>
      </c>
    </row>
    <row r="206" spans="1:3" x14ac:dyDescent="0.2">
      <c r="A206" s="107" t="s">
        <v>2832</v>
      </c>
      <c r="B206" s="107"/>
      <c r="C206" s="107" t="s">
        <v>2269</v>
      </c>
    </row>
    <row r="207" spans="1:3" x14ac:dyDescent="0.2">
      <c r="A207" s="107" t="s">
        <v>227</v>
      </c>
      <c r="B207" s="107"/>
      <c r="C207" s="107" t="s">
        <v>2268</v>
      </c>
    </row>
    <row r="208" spans="1:3" x14ac:dyDescent="0.2">
      <c r="A208" s="107" t="s">
        <v>2855</v>
      </c>
      <c r="B208" s="107"/>
      <c r="C208" s="107" t="s">
        <v>2268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586426-5948-41FD-81D2-862D7AF435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NZTL</vt:lpstr>
      <vt:lpstr>NZAL</vt:lpstr>
      <vt:lpstr>NZDY</vt:lpstr>
      <vt:lpstr>Data</vt:lpstr>
      <vt:lpstr>NZAL!Print_Area</vt:lpstr>
      <vt:lpstr>NZDY!Print_Area</vt:lpstr>
      <vt:lpstr>NZTL!Print_Area</vt:lpstr>
      <vt:lpstr>NZAL!Print_Titles</vt:lpstr>
      <vt:lpstr>NZDY!Print_Titles</vt:lpstr>
      <vt:lpstr>NZTL!Print_Titles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Sarker</dc:creator>
  <cp:lastModifiedBy>Mohit Sarker</cp:lastModifiedBy>
  <cp:lastPrinted>2026-06-24T06:43:06Z</cp:lastPrinted>
  <dcterms:created xsi:type="dcterms:W3CDTF">2025-12-23T06:37:48Z</dcterms:created>
  <dcterms:modified xsi:type="dcterms:W3CDTF">2026-06-25T07:53:22Z</dcterms:modified>
</cp:coreProperties>
</file>